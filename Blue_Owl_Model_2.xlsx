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31a5d0bab2e1f/Documents/"/>
    </mc:Choice>
  </mc:AlternateContent>
  <xr:revisionPtr revIDLastSave="262" documentId="8_{30ED0F63-062D-464B-93B2-372379AC1BA5}" xr6:coauthVersionLast="47" xr6:coauthVersionMax="47" xr10:uidLastSave="{8B64BBFB-259C-004C-B070-E4CB798B5270}"/>
  <bookViews>
    <workbookView xWindow="0" yWindow="680" windowWidth="34200" windowHeight="21460" activeTab="1" xr2:uid="{BE1317B6-8535-DF40-8A4C-92733AE9F82E}"/>
  </bookViews>
  <sheets>
    <sheet name="Cover" sheetId="1" r:id="rId1"/>
    <sheet name="STMT" sheetId="5" r:id="rId2"/>
    <sheet name="Pivot" sheetId="3" r:id="rId3"/>
    <sheet name="Query" sheetId="2" r:id="rId4"/>
    <sheet name="Sheet1" sheetId="6" r:id="rId5"/>
  </sheets>
  <definedNames>
    <definedName name="ExternalData_1" localSheetId="3" hidden="1">Query!$A$1:$C$263</definedName>
  </definedNames>
  <calcPr calcId="191029" iterate="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2" i="5" l="1"/>
  <c r="G58" i="5"/>
  <c r="F58" i="5"/>
  <c r="F67" i="5"/>
  <c r="E50" i="5"/>
  <c r="F50" i="5"/>
  <c r="E94" i="5"/>
  <c r="E92" i="5"/>
  <c r="F92" i="5"/>
  <c r="G92" i="5"/>
  <c r="H92" i="5"/>
  <c r="I92" i="5"/>
  <c r="J92" i="5"/>
  <c r="D92" i="5"/>
  <c r="E91" i="5"/>
  <c r="F91" i="5"/>
  <c r="G91" i="5"/>
  <c r="H91" i="5"/>
  <c r="I91" i="5"/>
  <c r="J91" i="5"/>
  <c r="D91" i="5"/>
  <c r="D104" i="5"/>
  <c r="F104" i="5"/>
  <c r="D94" i="5"/>
  <c r="J73" i="5"/>
  <c r="J72" i="5"/>
  <c r="E72" i="5"/>
  <c r="J67" i="5"/>
  <c r="E67" i="5"/>
  <c r="E63" i="5"/>
  <c r="D63" i="5"/>
  <c r="F63" i="5"/>
  <c r="G63" i="5"/>
  <c r="H63" i="5"/>
  <c r="I63" i="5"/>
  <c r="J63" i="5"/>
  <c r="E58" i="5"/>
  <c r="J54" i="5"/>
  <c r="I54" i="5"/>
  <c r="H54" i="5"/>
  <c r="G54" i="5"/>
  <c r="F54" i="5"/>
  <c r="E54" i="5"/>
  <c r="D54" i="5"/>
  <c r="D52" i="5"/>
  <c r="E52" i="5"/>
  <c r="F52" i="5"/>
  <c r="H52" i="5"/>
  <c r="I52" i="5"/>
  <c r="J52" i="5"/>
  <c r="G50" i="5"/>
  <c r="J51" i="5"/>
  <c r="D41" i="5"/>
  <c r="D43" i="5"/>
  <c r="D39" i="5"/>
  <c r="G33" i="5"/>
  <c r="H39" i="5"/>
  <c r="G35" i="5"/>
  <c r="D34" i="5"/>
  <c r="F35" i="5"/>
  <c r="F26" i="5"/>
  <c r="G13" i="5" s="1"/>
  <c r="J33" i="5"/>
  <c r="F33" i="5"/>
  <c r="E35" i="5"/>
  <c r="F41" i="5"/>
  <c r="D42" i="5"/>
  <c r="F39" i="5"/>
  <c r="G39" i="5"/>
  <c r="E39" i="5"/>
  <c r="J35" i="5"/>
  <c r="H34" i="5"/>
  <c r="F34" i="5"/>
  <c r="E34" i="5"/>
  <c r="D33" i="5"/>
  <c r="J27" i="5"/>
  <c r="I27" i="5"/>
  <c r="J12" i="5" s="1"/>
  <c r="H27" i="5"/>
  <c r="I12" i="5" s="1"/>
  <c r="G27" i="5"/>
  <c r="H12" i="5" s="1"/>
  <c r="F27" i="5"/>
  <c r="G12" i="5" s="1"/>
  <c r="E27" i="5"/>
  <c r="F12" i="5" s="1"/>
  <c r="D27" i="5"/>
  <c r="E12" i="5" s="1"/>
  <c r="J26" i="5"/>
  <c r="I26" i="5"/>
  <c r="J13" i="5" s="1"/>
  <c r="H26" i="5"/>
  <c r="I13" i="5" s="1"/>
  <c r="G26" i="5"/>
  <c r="H13" i="5" s="1"/>
  <c r="E26" i="5"/>
  <c r="F13" i="5" s="1"/>
  <c r="D26" i="5"/>
  <c r="E13" i="5" s="1"/>
  <c r="J25" i="5"/>
  <c r="I25" i="5"/>
  <c r="J11" i="5" s="1"/>
  <c r="H25" i="5"/>
  <c r="I11" i="5" s="1"/>
  <c r="G25" i="5"/>
  <c r="H11" i="5" s="1"/>
  <c r="F25" i="5"/>
  <c r="G11" i="5" s="1"/>
  <c r="E25" i="5"/>
  <c r="F11" i="5" s="1"/>
  <c r="D25" i="5"/>
  <c r="E11" i="5" s="1"/>
  <c r="J39" i="5"/>
  <c r="E33" i="5"/>
  <c r="H33" i="5"/>
  <c r="I33" i="5"/>
  <c r="D22" i="5"/>
  <c r="E22" i="5"/>
  <c r="E10" i="5" s="1"/>
  <c r="F22" i="5"/>
  <c r="G22" i="5"/>
  <c r="H22" i="5"/>
  <c r="I22" i="5"/>
  <c r="J22" i="5"/>
  <c r="D35" i="5"/>
  <c r="H35" i="5"/>
  <c r="I35" i="5"/>
  <c r="I39" i="5"/>
  <c r="E41" i="5"/>
  <c r="G41" i="5"/>
  <c r="H41" i="5"/>
  <c r="I41" i="5"/>
  <c r="J41" i="5"/>
  <c r="D72" i="5"/>
  <c r="D73" i="5"/>
  <c r="E73" i="5"/>
  <c r="F72" i="5"/>
  <c r="G72" i="5"/>
  <c r="H72" i="5"/>
  <c r="I72" i="5"/>
  <c r="D70" i="5"/>
  <c r="D5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E61" i="5"/>
  <c r="F61" i="5"/>
  <c r="G61" i="5"/>
  <c r="H61" i="5"/>
  <c r="I61" i="5"/>
  <c r="J61" i="5"/>
  <c r="E62" i="5"/>
  <c r="F62" i="5"/>
  <c r="G62" i="5"/>
  <c r="H62" i="5"/>
  <c r="I62" i="5"/>
  <c r="J62" i="5"/>
  <c r="E64" i="5"/>
  <c r="F64" i="5"/>
  <c r="G64" i="5"/>
  <c r="H64" i="5"/>
  <c r="I64" i="5"/>
  <c r="J64" i="5"/>
  <c r="E65" i="5"/>
  <c r="F65" i="5"/>
  <c r="G65" i="5"/>
  <c r="H65" i="5"/>
  <c r="I65" i="5"/>
  <c r="J65" i="5"/>
  <c r="D65" i="5"/>
  <c r="D62" i="5"/>
  <c r="D64" i="5"/>
  <c r="E51" i="5"/>
  <c r="D84" i="5"/>
  <c r="J104" i="5"/>
  <c r="D86" i="5"/>
  <c r="E86" i="5"/>
  <c r="D88" i="5"/>
  <c r="D126" i="5" s="1"/>
  <c r="E49" i="5"/>
  <c r="F49" i="5"/>
  <c r="G49" i="5"/>
  <c r="H49" i="5"/>
  <c r="I49" i="5"/>
  <c r="J49" i="5"/>
  <c r="F51" i="5"/>
  <c r="G51" i="5"/>
  <c r="H51" i="5"/>
  <c r="I51" i="5"/>
  <c r="E53" i="5"/>
  <c r="F53" i="5"/>
  <c r="G53" i="5"/>
  <c r="H53" i="5"/>
  <c r="I53" i="5"/>
  <c r="J53" i="5"/>
  <c r="E55" i="5"/>
  <c r="F55" i="5"/>
  <c r="G55" i="5"/>
  <c r="H55" i="5"/>
  <c r="I55" i="5"/>
  <c r="J55" i="5"/>
  <c r="E56" i="5"/>
  <c r="F56" i="5"/>
  <c r="G56" i="5"/>
  <c r="H56" i="5"/>
  <c r="I56" i="5"/>
  <c r="J56" i="5"/>
  <c r="D51" i="5"/>
  <c r="D53" i="5"/>
  <c r="D55" i="5"/>
  <c r="D56" i="5"/>
  <c r="H58" i="5"/>
  <c r="I58" i="5"/>
  <c r="J58" i="5"/>
  <c r="D58" i="5"/>
  <c r="D67" i="5"/>
  <c r="D66" i="5" s="1"/>
  <c r="G67" i="5"/>
  <c r="H67" i="5"/>
  <c r="I67" i="5"/>
  <c r="G104" i="5"/>
  <c r="D98" i="5"/>
  <c r="D97" i="5"/>
  <c r="E98" i="5"/>
  <c r="F98" i="5"/>
  <c r="G98" i="5"/>
  <c r="H98" i="5"/>
  <c r="I98" i="5"/>
  <c r="J98" i="5"/>
  <c r="E99" i="5"/>
  <c r="F99" i="5"/>
  <c r="G99" i="5"/>
  <c r="H99" i="5"/>
  <c r="I99" i="5"/>
  <c r="J99" i="5"/>
  <c r="D99" i="5"/>
  <c r="F86" i="5"/>
  <c r="G86" i="5"/>
  <c r="H86" i="5"/>
  <c r="I86" i="5"/>
  <c r="J86" i="5"/>
  <c r="J88" i="5"/>
  <c r="J126" i="5" s="1"/>
  <c r="H88" i="5"/>
  <c r="H126" i="5" s="1"/>
  <c r="E84" i="5"/>
  <c r="F84" i="5"/>
  <c r="G84" i="5"/>
  <c r="H84" i="5"/>
  <c r="I84" i="5"/>
  <c r="J84" i="5"/>
  <c r="E83" i="5"/>
  <c r="F83" i="5"/>
  <c r="G83" i="5"/>
  <c r="H83" i="5"/>
  <c r="I83" i="5"/>
  <c r="D83" i="5"/>
  <c r="J83" i="5"/>
  <c r="E88" i="5"/>
  <c r="E126" i="5" s="1"/>
  <c r="E100" i="5"/>
  <c r="D100" i="5"/>
  <c r="E97" i="5"/>
  <c r="F97" i="5"/>
  <c r="G97" i="5"/>
  <c r="H97" i="5"/>
  <c r="I97" i="5"/>
  <c r="J97" i="5"/>
  <c r="F94" i="5"/>
  <c r="G94" i="5"/>
  <c r="H94" i="5"/>
  <c r="I94" i="5"/>
  <c r="J94" i="5"/>
  <c r="E104" i="5"/>
  <c r="H104" i="5"/>
  <c r="I104" i="5"/>
  <c r="F88" i="5"/>
  <c r="F126" i="5" s="1"/>
  <c r="G88" i="5"/>
  <c r="G126" i="5" s="1"/>
  <c r="I88" i="5"/>
  <c r="I126" i="5" s="1"/>
  <c r="F100" i="5"/>
  <c r="G100" i="5"/>
  <c r="H100" i="5"/>
  <c r="I100" i="5"/>
  <c r="J100" i="5"/>
  <c r="J4" i="5"/>
  <c r="D49" i="5"/>
  <c r="D61" i="5"/>
  <c r="F73" i="5"/>
  <c r="G73" i="5"/>
  <c r="H73" i="5"/>
  <c r="I73" i="5"/>
  <c r="F66" i="5" l="1"/>
  <c r="F121" i="5"/>
  <c r="J122" i="5"/>
  <c r="J121" i="5"/>
  <c r="E121" i="5"/>
  <c r="E66" i="5"/>
  <c r="E136" i="5"/>
  <c r="E137" i="5"/>
  <c r="F136" i="5"/>
  <c r="F137" i="5"/>
  <c r="G137" i="5"/>
  <c r="G136" i="5"/>
  <c r="H137" i="5"/>
  <c r="H136" i="5"/>
  <c r="I137" i="5"/>
  <c r="I136" i="5"/>
  <c r="J137" i="5"/>
  <c r="J136" i="5"/>
  <c r="G121" i="5"/>
  <c r="H121" i="5"/>
  <c r="I121" i="5"/>
  <c r="G57" i="5"/>
  <c r="G10" i="5"/>
  <c r="F10" i="5"/>
  <c r="D93" i="5"/>
  <c r="G85" i="5"/>
  <c r="H85" i="5"/>
  <c r="I85" i="5"/>
  <c r="J85" i="5"/>
  <c r="E85" i="5"/>
  <c r="F85" i="5"/>
  <c r="F93" i="5"/>
  <c r="G93" i="5"/>
  <c r="I93" i="5"/>
  <c r="D85" i="5"/>
  <c r="E107" i="5"/>
  <c r="F107" i="5"/>
  <c r="H93" i="5"/>
  <c r="J93" i="5"/>
  <c r="E93" i="5"/>
  <c r="D106" i="5"/>
  <c r="D108" i="5" s="1"/>
  <c r="J66" i="5"/>
  <c r="J74" i="5"/>
  <c r="E57" i="5"/>
  <c r="F57" i="5"/>
  <c r="H57" i="5"/>
  <c r="I57" i="5"/>
  <c r="J57" i="5"/>
  <c r="D57" i="5"/>
  <c r="E43" i="5"/>
  <c r="H43" i="5"/>
  <c r="G43" i="5"/>
  <c r="F43" i="5"/>
  <c r="E28" i="5"/>
  <c r="J43" i="5"/>
  <c r="D28" i="5"/>
  <c r="E14" i="5" s="1"/>
  <c r="F28" i="5"/>
  <c r="G14" i="5" s="1"/>
  <c r="G28" i="5"/>
  <c r="H28" i="5"/>
  <c r="I28" i="5"/>
  <c r="J28" i="5"/>
  <c r="I43" i="5"/>
  <c r="E74" i="5"/>
  <c r="F74" i="5"/>
  <c r="G74" i="5"/>
  <c r="H74" i="5"/>
  <c r="I74" i="5"/>
  <c r="D74" i="5"/>
  <c r="G66" i="5"/>
  <c r="H66" i="5"/>
  <c r="I66" i="5"/>
  <c r="H107" i="5"/>
  <c r="E103" i="5"/>
  <c r="F103" i="5"/>
  <c r="H103" i="5"/>
  <c r="I103" i="5"/>
  <c r="J103" i="5"/>
  <c r="D103" i="5"/>
  <c r="G103" i="5"/>
  <c r="F106" i="5"/>
  <c r="G107" i="5"/>
  <c r="I107" i="5"/>
  <c r="J107" i="5"/>
  <c r="I106" i="5"/>
  <c r="J106" i="5"/>
  <c r="E106" i="5"/>
  <c r="G106" i="5"/>
  <c r="H106" i="5"/>
  <c r="D76" i="5"/>
  <c r="I10" i="5"/>
  <c r="J10" i="5"/>
  <c r="H10" i="5"/>
  <c r="E76" i="5" l="1"/>
  <c r="E78" i="5" s="1"/>
  <c r="E122" i="5"/>
  <c r="F76" i="5"/>
  <c r="F122" i="5"/>
  <c r="G76" i="5"/>
  <c r="G78" i="5" s="1"/>
  <c r="F4" i="5" s="1"/>
  <c r="G122" i="5"/>
  <c r="H76" i="5"/>
  <c r="H122" i="5"/>
  <c r="I76" i="5"/>
  <c r="I78" i="5" s="1"/>
  <c r="I122" i="5"/>
  <c r="G108" i="5"/>
  <c r="G110" i="5" s="1"/>
  <c r="E108" i="5"/>
  <c r="E110" i="5" s="1"/>
  <c r="G87" i="5"/>
  <c r="J76" i="5"/>
  <c r="H108" i="5"/>
  <c r="G30" i="5"/>
  <c r="G37" i="5" s="1"/>
  <c r="E30" i="5"/>
  <c r="E45" i="5" s="1"/>
  <c r="H78" i="5"/>
  <c r="G4" i="5" s="1"/>
  <c r="D30" i="5"/>
  <c r="D45" i="5" s="1"/>
  <c r="D125" i="5" s="1"/>
  <c r="J30" i="5"/>
  <c r="I30" i="5"/>
  <c r="H30" i="5"/>
  <c r="F30" i="5"/>
  <c r="F37" i="5" s="1"/>
  <c r="L37" i="5" s="1"/>
  <c r="F78" i="5"/>
  <c r="E4" i="5" s="1"/>
  <c r="D87" i="5"/>
  <c r="E87" i="5"/>
  <c r="D110" i="5"/>
  <c r="F87" i="5"/>
  <c r="H87" i="5"/>
  <c r="I87" i="5"/>
  <c r="J87" i="5"/>
  <c r="F108" i="5"/>
  <c r="F110" i="5" s="1"/>
  <c r="D4" i="5"/>
  <c r="H4" i="5"/>
  <c r="E125" i="5" l="1"/>
  <c r="E119" i="5"/>
  <c r="E120" i="5"/>
  <c r="I45" i="5"/>
  <c r="I125" i="5" s="1"/>
  <c r="I37" i="5"/>
  <c r="J78" i="5"/>
  <c r="I4" i="5" s="1"/>
  <c r="G45" i="5"/>
  <c r="G125" i="5" s="1"/>
  <c r="H45" i="5"/>
  <c r="H125" i="5" s="1"/>
  <c r="H37" i="5"/>
  <c r="E37" i="5"/>
  <c r="E15" i="5" s="1"/>
  <c r="D37" i="5"/>
  <c r="J45" i="5"/>
  <c r="J125" i="5" s="1"/>
  <c r="J37" i="5"/>
  <c r="F45" i="5"/>
  <c r="F125" i="5" s="1"/>
  <c r="I120" i="5" l="1"/>
  <c r="I119" i="5"/>
  <c r="G119" i="5"/>
  <c r="G120" i="5"/>
  <c r="H119" i="5"/>
  <c r="H120" i="5"/>
  <c r="J119" i="5"/>
  <c r="J120" i="5"/>
  <c r="F119" i="5"/>
  <c r="F120" i="5"/>
  <c r="H110" i="5"/>
  <c r="I108" i="5" l="1"/>
  <c r="I110" i="5" s="1"/>
  <c r="J108" i="5" l="1"/>
  <c r="J110" i="5" s="1"/>
  <c r="I14" i="5" l="1"/>
  <c r="J14" i="5"/>
  <c r="F14" i="5"/>
  <c r="H14" i="5"/>
  <c r="H15" i="5" l="1"/>
  <c r="I15" i="5"/>
  <c r="J15" i="5"/>
  <c r="G15" i="5" l="1"/>
  <c r="F1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D535A-9639-234E-B300-FAF5E8EE72C8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<sst xmlns="http://schemas.openxmlformats.org/spreadsheetml/2006/main" count="874" uniqueCount="287">
  <si>
    <t>Metric</t>
  </si>
  <si>
    <t>Date</t>
  </si>
  <si>
    <t>Value</t>
  </si>
  <si>
    <t>Revenues</t>
  </si>
  <si>
    <t>2022-12-31</t>
  </si>
  <si>
    <t>2023-12-31</t>
  </si>
  <si>
    <t>2024-12-31</t>
  </si>
  <si>
    <t>2025-12-31</t>
  </si>
  <si>
    <t>NetIncomeLoss</t>
  </si>
  <si>
    <t>2019-12-31</t>
  </si>
  <si>
    <t>2020-12-31</t>
  </si>
  <si>
    <t>2021-12-31</t>
  </si>
  <si>
    <t>OperatingIncomeLoss</t>
  </si>
  <si>
    <t>Assets</t>
  </si>
  <si>
    <t>CashAndCashEquivalentsAtCarryingValue</t>
  </si>
  <si>
    <t>Compensation</t>
  </si>
  <si>
    <t>GeneralAndAdministrativeExpense</t>
  </si>
  <si>
    <t>DepreciationAndAmortization</t>
  </si>
  <si>
    <t>InterestExpense</t>
  </si>
  <si>
    <t>IncomeTaxExpense</t>
  </si>
  <si>
    <t>Liabilities</t>
  </si>
  <si>
    <t>LongTermDebt</t>
  </si>
  <si>
    <t>StockholdersEquity</t>
  </si>
  <si>
    <t>2020-08-19</t>
  </si>
  <si>
    <t>Cash</t>
  </si>
  <si>
    <t>OperatingCashFlow</t>
  </si>
  <si>
    <t>InvestingCashFlow</t>
  </si>
  <si>
    <t>FinancingCashFlow</t>
  </si>
  <si>
    <t>Go to sec.gov/cgi-bin/browse-edgar</t>
  </si>
  <si>
    <t>Open Excel</t>
  </si>
  <si>
    <t>Click Data tab</t>
  </si>
  <si>
    <t>Click Get Data (Power Query)</t>
  </si>
  <si>
    <t>Delete everything in the editor</t>
  </si>
  <si>
    <t>The SEC stores all financial data in a JSON file at:</t>
  </si>
  <si>
    <t>https://data.sec.gov/api/xbrl/companyfacts/CIK0001823945.json</t>
  </si>
  <si>
    <t>Every line item follows the same 4-step pattern:</t>
  </si>
  <si>
    <t>Income Statement:</t>
  </si>
  <si>
    <t>LaborAndRelatedExpense</t>
  </si>
  <si>
    <t>AmortizationOfIntangibleAssets</t>
  </si>
  <si>
    <t>IncomeTaxExpenseBenefit</t>
  </si>
  <si>
    <t>Balance Sheet:</t>
  </si>
  <si>
    <t>Cash Flow:</t>
  </si>
  <si>
    <t>NetCashProvidedByUsedInOperatingActivities</t>
  </si>
  <si>
    <t>NetCashProvidedByUsedInInvestingActivities</t>
  </si>
  <si>
    <t>NetCashProvidedByUsedInFinancingActivities</t>
  </si>
  <si>
    <t>Click Done in Advanced Editor</t>
  </si>
  <si>
    <t>Data loads into a new sheet as a table with three columns: Metric, Date, Value</t>
  </si>
  <si>
    <t>Select all loaded data</t>
  </si>
  <si>
    <t>Insert → PivotTable</t>
  </si>
  <si>
    <t>Put Date in Columns</t>
  </si>
  <si>
    <t>Put Metric in Rows</t>
  </si>
  <si>
    <t>Put Value in Values</t>
  </si>
  <si>
    <t>Still to build:</t>
  </si>
  <si>
    <t>Supporting Schedules — debt schedule, D&amp;A schedule</t>
  </si>
  <si>
    <t>1. GET DATA</t>
  </si>
  <si>
    <t>2. SET UP POWER QUERY IN EXCEL</t>
  </si>
  <si>
    <t>3. WRITE THE QUERY</t>
  </si>
  <si>
    <t>RULES:</t>
  </si>
  <si>
    <t>b) Expand fields:</t>
  </si>
  <si>
    <t>c) Filter for annual only:</t>
  </si>
  <si>
    <t>d) Label it:</t>
  </si>
  <si>
    <t>Tag names are case sensitive; must match exactly</t>
  </si>
  <si>
    <t>4. PULL TAGS</t>
  </si>
  <si>
    <t>5. LOAD DATA INTO EXCEL</t>
  </si>
  <si>
    <t>6. PIVOT THE DATA</t>
  </si>
  <si>
    <t>a) Get list:</t>
  </si>
  <si>
    <t>TO CHANGE COMPANY:</t>
  </si>
  <si>
    <t>Replace CIK number in the URL with the new company's CIK from EDGAR. Everything else stays the same.</t>
  </si>
  <si>
    <t>Row Labels</t>
  </si>
  <si>
    <t>Column Labels</t>
  </si>
  <si>
    <t>Sum of Value</t>
  </si>
  <si>
    <t>This gives you years as columns, metrics as rows:  standard financial statement layout</t>
  </si>
  <si>
    <t>Revenue</t>
  </si>
  <si>
    <t>Income Statement</t>
  </si>
  <si>
    <t>Forecasted Period</t>
  </si>
  <si>
    <t>Historical Period</t>
  </si>
  <si>
    <t>General &amp; Administrative</t>
  </si>
  <si>
    <t>Interest Expense</t>
  </si>
  <si>
    <t>EBITDA</t>
  </si>
  <si>
    <t>EXPENSES</t>
  </si>
  <si>
    <t xml:space="preserve">Cash Flow Statement </t>
  </si>
  <si>
    <t>Balance Sheet</t>
  </si>
  <si>
    <t>Total Assets</t>
  </si>
  <si>
    <t>Total Liabilities</t>
  </si>
  <si>
    <t>Total Liabilities &amp; Shareholder's Equity</t>
  </si>
  <si>
    <t>Check</t>
  </si>
  <si>
    <t>Operating Cash Flow</t>
  </si>
  <si>
    <t>Cash from Operations</t>
  </si>
  <si>
    <t>Investing Cash Flow</t>
  </si>
  <si>
    <t>Cash from Investing</t>
  </si>
  <si>
    <t>Financing Cash Flow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</si>
  <si>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</si>
  <si>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</si>
  <si>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</si>
  <si>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</si>
  <si>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</si>
  <si>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Interest (% of Debt)</t>
  </si>
  <si>
    <t>Tax Rate (% of Earnings Before Tax)</t>
  </si>
  <si>
    <t>Capital Expenditures ($000's)</t>
  </si>
  <si>
    <t>Debt Issuance (Repayment) ($000's)</t>
  </si>
  <si>
    <t>Equity Issued (Repaid) ($000's)</t>
  </si>
  <si>
    <r>
      <rPr>
        <b/>
        <sz val="12"/>
        <color theme="1"/>
        <rFont val="Calibri"/>
        <family val="2"/>
      </rPr>
      <t xml:space="preserve">Revenue Growth </t>
    </r>
    <r>
      <rPr>
        <sz val="12"/>
        <color theme="1"/>
        <rFont val="Calibri"/>
        <family val="2"/>
      </rPr>
      <t>(% Change)</t>
    </r>
  </si>
  <si>
    <t>Compensation (% of Revenue)</t>
  </si>
  <si>
    <t>Depreciation &amp; Amortization (% of Revenue)</t>
  </si>
  <si>
    <t>General &amp; Administrative (% of Revenue)</t>
  </si>
  <si>
    <t>Long Term Debt</t>
  </si>
  <si>
    <t>MinorityInterest</t>
  </si>
  <si>
    <t>Noncontrolling Interest</t>
  </si>
  <si>
    <t>Total Equity</t>
  </si>
  <si>
    <t>Assumptions</t>
  </si>
  <si>
    <t>2020: SPAC transition year — balance sheet incomplete</t>
  </si>
  <si>
    <t>ShareBasedCompensation</t>
  </si>
  <si>
    <t>RepaymentsOfDebt</t>
  </si>
  <si>
    <t>DividendsPaid</t>
  </si>
  <si>
    <t>EPSDiluted</t>
  </si>
  <si>
    <t>SharesOutstanding</t>
  </si>
  <si>
    <t>2020-12-07</t>
  </si>
  <si>
    <t>ProceedsFromDebt</t>
  </si>
  <si>
    <t>ProceedsFromEquity</t>
  </si>
  <si>
    <t>DebtFairValue</t>
  </si>
  <si>
    <t>Dividends Paid</t>
  </si>
  <si>
    <t>Proceeds from Debt</t>
  </si>
  <si>
    <t>check</t>
  </si>
  <si>
    <t>Other Non-Cash &amp; WC Changes</t>
  </si>
  <si>
    <t>Repayment of Debt</t>
  </si>
  <si>
    <t>ConsolidatedNetIncome</t>
  </si>
  <si>
    <t>Depreciation</t>
  </si>
  <si>
    <t>PPENet</t>
  </si>
  <si>
    <t>Depreciation of Fixed Assets</t>
  </si>
  <si>
    <t>PPE Net</t>
  </si>
  <si>
    <t>Other Financing Items</t>
  </si>
  <si>
    <t>Consolidated Net Income</t>
  </si>
  <si>
    <t>Hard coded</t>
  </si>
  <si>
    <t>InterestAndDividendIncome</t>
  </si>
  <si>
    <t>GainLossOnInvestments</t>
  </si>
  <si>
    <t>Total Operating Expenses</t>
  </si>
  <si>
    <t>Operating Income</t>
  </si>
  <si>
    <t>Interest &amp; Dividend Income</t>
  </si>
  <si>
    <t>Net Gains (Losses) on Investments</t>
  </si>
  <si>
    <t>Other Items</t>
  </si>
  <si>
    <t>consolidatedNetIncome</t>
  </si>
  <si>
    <t>Net Income to Blue Owl</t>
  </si>
  <si>
    <t>Hardcoded</t>
  </si>
  <si>
    <t>DueFromRelatedParties</t>
  </si>
  <si>
    <t>Due from Related Parties</t>
  </si>
  <si>
    <t>Investments</t>
  </si>
  <si>
    <t>Goodwill</t>
  </si>
  <si>
    <t>OtherAssets</t>
  </si>
  <si>
    <t>IntangibleAssetsNet</t>
  </si>
  <si>
    <t>Intangible Assets (Net)</t>
  </si>
  <si>
    <t>Other Assets</t>
  </si>
  <si>
    <t>Unidentified Assets</t>
  </si>
  <si>
    <t>AccruedCompensation</t>
  </si>
  <si>
    <t>AccountsPayableAndOther</t>
  </si>
  <si>
    <t>DeferredTaxLiabilities</t>
  </si>
  <si>
    <t>AdditionalPaidInCapital</t>
  </si>
  <si>
    <t>AccumulatedDeficit</t>
  </si>
  <si>
    <t>Deferred Tax Liabilities</t>
  </si>
  <si>
    <t>Other Liabilities</t>
  </si>
  <si>
    <t>Additional Paid-in Capital</t>
  </si>
  <si>
    <t>Accumulated Deficit</t>
  </si>
  <si>
    <t>Accrued Compensation</t>
  </si>
  <si>
    <t>Share Capital (Class A/C/D)</t>
  </si>
  <si>
    <t>Dollars in Thousands, Except Per Share Data</t>
  </si>
  <si>
    <t>Accounts Payable</t>
  </si>
  <si>
    <t>Pre-Tax Income</t>
  </si>
  <si>
    <t>Income Taxes</t>
  </si>
  <si>
    <t>(- ) NCI :Net income attributable to noncontrolling interests</t>
  </si>
  <si>
    <t>REVENUE</t>
  </si>
  <si>
    <t>Total Revenue</t>
  </si>
  <si>
    <t xml:space="preserve">  </t>
  </si>
  <si>
    <t>2022 SEC tag captures $55,711K; remaining $4,357K tagged separately per 10-K.</t>
  </si>
  <si>
    <t>: InterestExpenseNonoperating</t>
  </si>
  <si>
    <t>OtherReceivables</t>
  </si>
  <si>
    <t>Duefromrelatedparties</t>
  </si>
  <si>
    <t>other names for these;</t>
  </si>
  <si>
    <t>OperatingLeaseRightOfUseAsset</t>
  </si>
  <si>
    <t>2021-01-01</t>
  </si>
  <si>
    <t>Operating Lease Assets</t>
  </si>
  <si>
    <t>OperatingLeaseLiability</t>
  </si>
  <si>
    <t>LIABILITIES</t>
  </si>
  <si>
    <t>ASSETS</t>
  </si>
  <si>
    <t>Op. Lease Liabilities</t>
  </si>
  <si>
    <t>Total Shareholders’Equity - Blue Owl</t>
  </si>
  <si>
    <t>Accumulated Deficit (RE)</t>
  </si>
  <si>
    <t>CFA Template</t>
  </si>
  <si>
    <t>Blue Owl Equivalent</t>
  </si>
  <si>
    <t>Equity Capital</t>
  </si>
  <si>
    <t>Retained Earnings</t>
  </si>
  <si>
    <t>Shareholder's Equity</t>
  </si>
  <si>
    <t>Total Shareholders' Equity - Blue Owl</t>
  </si>
  <si>
    <t>SHAREHOLDERS EQUITY</t>
  </si>
  <si>
    <t>Consolidated Net Income (Loss)</t>
  </si>
  <si>
    <t>Non-cash items:</t>
  </si>
  <si>
    <t>Amortization of debt discounts</t>
  </si>
  <si>
    <t>Non-cash interest income</t>
  </si>
  <si>
    <t>Deferred income taxes</t>
  </si>
  <si>
    <t>Change in TRA liability</t>
  </si>
  <si>
    <t>Change in warrant liability</t>
  </si>
  <si>
    <t>Change in earnout liability</t>
  </si>
  <si>
    <t>Net gains/losses on investments</t>
  </si>
  <si>
    <t>Working capital changes:</t>
  </si>
  <si>
    <t>Due from related parties</t>
  </si>
  <si>
    <t>Other assets</t>
  </si>
  <si>
    <t>Accrued compensation</t>
  </si>
  <si>
    <t>Accounts payable and other liabilities</t>
  </si>
  <si>
    <t>Strategic Revenue-Share consideration</t>
  </si>
  <si>
    <t>CapEx</t>
  </si>
  <si>
    <t>RSU tax withholding ($79.6M in 2025)</t>
  </si>
  <si>
    <t>TRA payments ($53.5M in 2025)</t>
  </si>
  <si>
    <t>Share repurchases ($53.7M in 2025)</t>
  </si>
  <si>
    <t>Debt issuance costs ($3.4M in 2025)</t>
  </si>
  <si>
    <t>Earnout payments ($36.8M in 2025)</t>
  </si>
  <si>
    <t>AcquisitionPayments</t>
  </si>
  <si>
    <t>Cash Consideration for Acquisitions</t>
  </si>
  <si>
    <t>Other Investing Items</t>
  </si>
  <si>
    <t>(-) Distributions to NCI</t>
  </si>
  <si>
    <t>(+) Contributions to NCI</t>
  </si>
  <si>
    <t>(+) Equity-Based Compensation</t>
  </si>
  <si>
    <t>(+) Depreciation &amp; Amortization</t>
  </si>
  <si>
    <t>2020: SPAC transition year-balance sheet incomplete</t>
  </si>
  <si>
    <t>OTHER INCOME (Expense)</t>
  </si>
  <si>
    <t>Depreciation &amp; Amortization of Intangible Assets</t>
  </si>
  <si>
    <t>LEVERAGE</t>
  </si>
  <si>
    <t>Debt / EBITDA</t>
  </si>
  <si>
    <t>Net Debt / EBITDA</t>
  </si>
  <si>
    <t>Debt / Total Assets</t>
  </si>
  <si>
    <t>Debt / Total Equity</t>
  </si>
  <si>
    <t>COVERAGE</t>
  </si>
  <si>
    <t>EBITDA / Interest Expense</t>
  </si>
  <si>
    <t>Operating Income / Interest Expense</t>
  </si>
  <si>
    <t>PROFITABILITY</t>
  </si>
  <si>
    <t>Revenue Growth %</t>
  </si>
  <si>
    <t>EBITDA Margin %</t>
  </si>
  <si>
    <t>Net Income Margin %</t>
  </si>
  <si>
    <t>Return on Assets (ROA)</t>
  </si>
  <si>
    <t>Return on Equity (ROE)</t>
  </si>
  <si>
    <t>LIQUIDITY</t>
  </si>
  <si>
    <t>Cash / Total Assets</t>
  </si>
  <si>
    <t>Cash / Total Debt</t>
  </si>
  <si>
    <t>PER SHARE</t>
  </si>
  <si>
    <t>EPS Diluted</t>
  </si>
  <si>
    <t>CREDIT RATIOS</t>
  </si>
  <si>
    <t>Growth Rate</t>
  </si>
  <si>
    <t>AUM Growth: 40% by 2028</t>
  </si>
  <si>
    <t>https://www.sec.gov/ix?doc=/Archives/edgar/data/0001823945/000182394526000009/owl-20251231.htm#fact-identifier-32</t>
  </si>
  <si>
    <t>Revenue Forecast</t>
  </si>
  <si>
    <t>Revenue ≈ Fee-Paying AUM × Average Fee Rate</t>
  </si>
  <si>
    <t xml:space="preserve">LTM FRE Management Fees: </t>
  </si>
  <si>
    <t>$2,622M</t>
  </si>
  <si>
    <t xml:space="preserve">AUM: </t>
  </si>
  <si>
    <t>$315B</t>
  </si>
  <si>
    <t xml:space="preserve">Fee-Paying AUM (FPAUM): </t>
  </si>
  <si>
    <t>$225B</t>
  </si>
  <si>
    <t>From BlueOwl Q1 2026 deck:</t>
  </si>
  <si>
    <r>
      <t xml:space="preserve">Every query starts with </t>
    </r>
    <r>
      <rPr>
        <b/>
        <sz val="10"/>
        <color theme="1"/>
        <rFont val="Calibri"/>
        <family val="2"/>
      </rPr>
      <t>let</t>
    </r>
    <r>
      <rPr>
        <sz val="10"/>
        <color theme="1"/>
        <rFont val="Calibri"/>
        <family val="2"/>
      </rPr>
      <t xml:space="preserve"> and ends with in </t>
    </r>
    <r>
      <rPr>
        <b/>
        <sz val="10"/>
        <color theme="1"/>
        <rFont val="Calibri"/>
        <family val="2"/>
      </rPr>
      <t>Output</t>
    </r>
  </si>
  <si>
    <r>
      <t>Search "</t>
    </r>
    <r>
      <rPr>
        <i/>
        <sz val="10"/>
        <color theme="1"/>
        <rFont val="Calibri"/>
        <family val="2"/>
      </rPr>
      <t>Company Name</t>
    </r>
    <r>
      <rPr>
        <sz val="10"/>
        <color theme="1"/>
        <rFont val="Calibri"/>
        <family val="2"/>
      </rPr>
      <t xml:space="preserve">" or ticker </t>
    </r>
  </si>
  <si>
    <r>
      <t xml:space="preserve">Every line except the last ends with a </t>
    </r>
    <r>
      <rPr>
        <b/>
        <sz val="10"/>
        <color theme="1"/>
        <rFont val="Calibri"/>
        <family val="2"/>
      </rPr>
      <t>comma</t>
    </r>
  </si>
  <si>
    <r>
      <t xml:space="preserve">Filter to </t>
    </r>
    <r>
      <rPr>
        <b/>
        <sz val="10"/>
        <color theme="1"/>
        <rFont val="Calibri"/>
        <family val="2"/>
      </rPr>
      <t>Annual</t>
    </r>
    <r>
      <rPr>
        <sz val="10"/>
        <color theme="1"/>
        <rFont val="Calibri"/>
        <family val="2"/>
      </rPr>
      <t xml:space="preserve"> Reports (10-K)</t>
    </r>
  </si>
  <si>
    <r>
      <t xml:space="preserve">Click the most recent </t>
    </r>
    <r>
      <rPr>
        <b/>
        <sz val="10"/>
        <color theme="1"/>
        <rFont val="Calibri"/>
        <family val="2"/>
      </rPr>
      <t>10-K</t>
    </r>
    <r>
      <rPr>
        <sz val="10"/>
        <color theme="1"/>
        <rFont val="Calibri"/>
        <family val="2"/>
      </rPr>
      <t xml:space="preserve"> filing</t>
    </r>
  </si>
  <si>
    <r>
      <t>Only one "</t>
    </r>
    <r>
      <rPr>
        <i/>
        <sz val="10"/>
        <color theme="1"/>
        <rFont val="Calibri"/>
        <family val="2"/>
      </rPr>
      <t>in</t>
    </r>
    <r>
      <rPr>
        <sz val="10"/>
        <color theme="1"/>
        <rFont val="Calibri"/>
        <family val="2"/>
      </rPr>
      <t>" statement at the very end</t>
    </r>
  </si>
  <si>
    <r>
      <t>Click Sections: Item 8:</t>
    </r>
    <r>
      <rPr>
        <b/>
        <sz val="10"/>
        <color theme="1"/>
        <rFont val="Calibri"/>
        <family val="2"/>
      </rPr>
      <t xml:space="preserve"> Financial Statements</t>
    </r>
    <r>
      <rPr>
        <sz val="10"/>
        <color theme="1"/>
        <rFont val="Calibri"/>
        <family val="2"/>
      </rPr>
      <t xml:space="preserve"> to review the raw data</t>
    </r>
  </si>
  <si>
    <r>
      <t xml:space="preserve">Click </t>
    </r>
    <r>
      <rPr>
        <b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 xml:space="preserve"> Query</t>
    </r>
  </si>
  <si>
    <r>
      <t xml:space="preserve">Click </t>
    </r>
    <r>
      <rPr>
        <b/>
        <sz val="11"/>
        <color theme="1"/>
        <rFont val="Calibri"/>
        <family val="2"/>
      </rPr>
      <t>Advanced Editor</t>
    </r>
  </si>
  <si>
    <r>
      <t>XList = Table.FromList(GAAP[</t>
    </r>
    <r>
      <rPr>
        <b/>
        <sz val="10"/>
        <color rgb="FF14181F"/>
        <rFont val="Calibri"/>
        <family val="2"/>
      </rPr>
      <t>TagName</t>
    </r>
    <r>
      <rPr>
        <sz val="10"/>
        <color rgb="FF14181F"/>
        <rFont val="Calibri"/>
        <family val="2"/>
      </rPr>
      <t>][units][USD], Splitter.SplitByNothing(), {"Record"})</t>
    </r>
  </si>
  <si>
    <r>
      <t>XExp = Table.ExpandRecordColumn</t>
    </r>
    <r>
      <rPr>
        <b/>
        <sz val="10"/>
        <color rgb="FF14181F"/>
        <rFont val="Calibri"/>
        <family val="2"/>
      </rPr>
      <t>(X</t>
    </r>
    <r>
      <rPr>
        <sz val="10"/>
        <color rgb="FF14181F"/>
        <rFont val="Calibri"/>
        <family val="2"/>
      </rPr>
      <t>List, "Record", {"end", "val", "form", "fp"}, {"Date", "Value", "Form", "Period"})</t>
    </r>
  </si>
  <si>
    <r>
      <t>XAnnual = Table.SelectRows(</t>
    </r>
    <r>
      <rPr>
        <b/>
        <sz val="10"/>
        <color rgb="FF14181F"/>
        <rFont val="Calibri"/>
        <family val="2"/>
      </rPr>
      <t>X</t>
    </r>
    <r>
      <rPr>
        <sz val="10"/>
        <color rgb="FF14181F"/>
        <rFont val="Calibri"/>
        <family val="2"/>
      </rPr>
      <t>Exp, each [Form] = "10-K" and [Period] = "FY")</t>
    </r>
  </si>
  <si>
    <r>
      <t>XFinal = Table.AddColumn(</t>
    </r>
    <r>
      <rPr>
        <b/>
        <sz val="10"/>
        <color rgb="FF14181F"/>
        <rFont val="Calibri"/>
        <family val="2"/>
      </rPr>
      <t>X</t>
    </r>
    <r>
      <rPr>
        <sz val="10"/>
        <color rgb="FF14181F"/>
        <rFont val="Calibri"/>
        <family val="2"/>
      </rPr>
      <t>Annual, "Metric", each "</t>
    </r>
    <r>
      <rPr>
        <b/>
        <sz val="10"/>
        <color rgb="FF14181F"/>
        <rFont val="Calibri"/>
        <family val="2"/>
      </rPr>
      <t>NameLabel</t>
    </r>
    <r>
      <rPr>
        <sz val="10"/>
        <color rgb="FF14181F"/>
        <rFont val="Calibri"/>
        <family val="2"/>
      </rPr>
      <t>")</t>
    </r>
  </si>
  <si>
    <r>
      <t>XFinal2 = Table.Distinct(</t>
    </r>
    <r>
      <rPr>
        <b/>
        <sz val="10"/>
        <color rgb="FF14181F"/>
        <rFont val="Calibri"/>
        <family val="2"/>
      </rPr>
      <t>X</t>
    </r>
    <r>
      <rPr>
        <sz val="10"/>
        <color rgb="FF14181F"/>
        <rFont val="Calibri"/>
        <family val="2"/>
      </rPr>
      <t>Final, {"Date"})</t>
    </r>
  </si>
  <si>
    <r>
      <t xml:space="preserve">Click </t>
    </r>
    <r>
      <rPr>
        <b/>
        <sz val="10"/>
        <color theme="1"/>
        <rFont val="Calibri"/>
        <family val="2"/>
      </rPr>
      <t>Close &amp; Load</t>
    </r>
    <r>
      <rPr>
        <sz val="10"/>
        <color theme="1"/>
        <rFont val="Calibri"/>
        <family val="2"/>
      </rPr>
      <t xml:space="preserve"> in the Power Query ribbon</t>
    </r>
  </si>
  <si>
    <t>Assumptions: revenue growth %, compensation %, tax rate, interest rate</t>
  </si>
  <si>
    <t>Macros: auto-refresh, flag deteriorating credits, generate summary report</t>
  </si>
  <si>
    <t>Dashboard; charts, flags for deteriorating metrics</t>
  </si>
  <si>
    <t>Credit Ratios tab: Debt/EBITDA, interest coverage, net income margin, revenue growth</t>
  </si>
  <si>
    <t>7. NEXT STEPS TO BUILD</t>
  </si>
  <si>
    <t>InterestExpenseNonoperating</t>
  </si>
  <si>
    <t xml:space="preserve">Bottom-up AUM </t>
  </si>
  <si>
    <r>
      <t xml:space="preserve">So implied fee rate = $2,622M / $225B ≈ </t>
    </r>
    <r>
      <rPr>
        <b/>
        <sz val="12"/>
        <color theme="1"/>
        <rFont val="Calibri"/>
        <family val="2"/>
      </rPr>
      <t>1.17%</t>
    </r>
  </si>
  <si>
    <t xml:space="preserve"> (this is the number that actually matters)</t>
  </si>
  <si>
    <t>Other Financing Items plug handles everything else</t>
  </si>
  <si>
    <t xml:space="preserve"> 2026 Q1 Deck</t>
  </si>
  <si>
    <r>
      <t>Fee Related Earnings:</t>
    </r>
    <r>
      <rPr>
        <sz val="12"/>
        <color theme="1"/>
        <rFont val="Calibri"/>
        <family val="2"/>
      </rPr>
      <t xml:space="preserve"> $1.3B → $3.1B+ by 2029 : </t>
    </r>
    <r>
      <rPr>
        <b/>
        <sz val="12"/>
        <color theme="1"/>
        <rFont val="Calibri"/>
        <family val="2"/>
      </rPr>
      <t>20%+ CAGR</t>
    </r>
  </si>
  <si>
    <r>
      <t>FRE Management Fees:</t>
    </r>
    <r>
      <rPr>
        <sz val="12"/>
        <color theme="1"/>
        <rFont val="Calibri"/>
        <family val="2"/>
      </rPr>
      <t xml:space="preserve"> $2.0B → $5.1B+ by 2029 : </t>
    </r>
    <r>
      <rPr>
        <b/>
        <sz val="12"/>
        <color theme="1"/>
        <rFont val="Calibri"/>
        <family val="2"/>
      </rPr>
      <t>20%+ CAGR</t>
    </r>
  </si>
  <si>
    <r>
      <t>AUM:</t>
    </r>
    <r>
      <rPr>
        <sz val="12"/>
        <color theme="1"/>
        <rFont val="Calibri"/>
        <family val="2"/>
      </rPr>
      <t xml:space="preserve"> $251B → $500B+ by 2029 : </t>
    </r>
    <r>
      <rPr>
        <b/>
        <sz val="12"/>
        <color theme="1"/>
        <rFont val="Calibri"/>
        <family val="2"/>
      </rPr>
      <t>2x+ growth, ~15% CAGR</t>
    </r>
  </si>
  <si>
    <t>Blue Owl Capital (OWL)</t>
  </si>
  <si>
    <t>3-STATEMENT MODEL BUILD INSTRUCTIONS</t>
  </si>
  <si>
    <t>By Kristen Gallagher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</si>
</sst>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-* #,##0_-;\(#,##0\)_-;_-* &quot;-&quot;_-;_-@"/>
    <numFmt numFmtId="166" formatCode="yyyy\-mm\-dd"/>
    <numFmt numFmtId="167" formatCode="0.0000_ ;\-0.0000\ "/>
    <numFmt numFmtId="168" formatCode="0.0%"/>
  </numFmts>
  <fonts count="3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FF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</font>
    <font>
      <sz val="12"/>
      <color rgb="FFFF0000"/>
      <name val="Calibri"/>
      <family val="2"/>
    </font>
    <font>
      <sz val="10"/>
      <color theme="1"/>
      <name val="Calibri"/>
      <family val="2"/>
    </font>
    <font>
      <sz val="8"/>
      <color rgb="FF000000"/>
      <name val="Calibri"/>
      <family val="2"/>
    </font>
    <font>
      <sz val="14"/>
      <color rgb="FF000000"/>
      <name val="Calibri"/>
      <family val="2"/>
    </font>
    <font>
      <sz val="10"/>
      <color rgb="FFFF0000"/>
      <name val="Calibri"/>
      <family val="2"/>
    </font>
    <font>
      <sz val="10"/>
      <color rgb="FF14181F"/>
      <name val="Calibri"/>
      <family val="2"/>
    </font>
    <font>
      <i/>
      <sz val="9"/>
      <color theme="1"/>
      <name val="Calibri"/>
      <family val="2"/>
    </font>
    <font>
      <b/>
      <sz val="16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rgb="FF14181F"/>
      <name val="Calibri"/>
      <family val="2"/>
    </font>
    <font>
      <sz val="9"/>
      <color theme="1"/>
      <name val="Calibri"/>
      <family val="2"/>
    </font>
    <font>
      <b/>
      <sz val="11"/>
      <color rgb="FF121212"/>
      <name val="Calibri"/>
      <family val="2"/>
    </font>
    <font>
      <b/>
      <u/>
      <sz val="12"/>
      <color theme="1"/>
      <name val="Calibri"/>
      <family val="2"/>
    </font>
    <font>
      <u/>
      <sz val="12"/>
      <color theme="1"/>
      <name val="Calibri"/>
      <family val="2"/>
    </font>
    <font>
      <b/>
      <sz val="14"/>
      <color rgb="FF212529"/>
      <name val="Calibri"/>
      <family val="2"/>
    </font>
    <font>
      <sz val="12"/>
      <color rgb="FF14181F"/>
      <name val="Calibri"/>
      <family val="2"/>
    </font>
    <font>
      <b/>
      <i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59999389629810485"/>
        <bgColor rgb="FFC0E6F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164" fontId="0" fillId="0" borderId="0" xfId="0" applyNumberFormat="1"/>
    <xf numFmtId="165" fontId="4" fillId="0" borderId="0" xfId="0" applyNumberFormat="1" applyFont="1"/>
    <xf numFmtId="0" fontId="4" fillId="0" borderId="0" xfId="0" applyFont="1"/>
    <xf numFmtId="165" fontId="5" fillId="0" borderId="0" xfId="0" applyNumberFormat="1" applyFont="1"/>
    <xf numFmtId="165" fontId="7" fillId="0" borderId="0" xfId="0" applyNumberFormat="1" applyFont="1"/>
    <xf numFmtId="165" fontId="5" fillId="0" borderId="4" xfId="0" applyNumberFormat="1" applyFont="1" applyBorder="1"/>
    <xf numFmtId="168" fontId="4" fillId="0" borderId="0" xfId="0" applyNumberFormat="1" applyFont="1"/>
    <xf numFmtId="168" fontId="7" fillId="0" borderId="0" xfId="0" applyNumberFormat="1" applyFont="1"/>
    <xf numFmtId="165" fontId="8" fillId="0" borderId="0" xfId="0" applyNumberFormat="1" applyFont="1"/>
    <xf numFmtId="0" fontId="5" fillId="0" borderId="0" xfId="0" applyFont="1"/>
    <xf numFmtId="164" fontId="4" fillId="0" borderId="0" xfId="2" applyNumberFormat="1" applyFont="1"/>
    <xf numFmtId="41" fontId="4" fillId="0" borderId="0" xfId="0" applyNumberFormat="1" applyFont="1"/>
    <xf numFmtId="0" fontId="4" fillId="0" borderId="0" xfId="0" applyFont="1" applyAlignment="1">
      <alignment horizontal="left"/>
    </xf>
    <xf numFmtId="164" fontId="5" fillId="0" borderId="0" xfId="2" applyNumberFormat="1" applyFont="1"/>
    <xf numFmtId="167" fontId="8" fillId="0" borderId="0" xfId="0" applyNumberFormat="1" applyFont="1"/>
    <xf numFmtId="0" fontId="5" fillId="3" borderId="0" xfId="0" applyFont="1" applyFill="1" applyAlignment="1">
      <alignment horizontal="center" vertical="center"/>
    </xf>
    <xf numFmtId="41" fontId="5" fillId="0" borderId="0" xfId="0" applyNumberFormat="1" applyFont="1"/>
    <xf numFmtId="41" fontId="4" fillId="0" borderId="6" xfId="0" applyNumberFormat="1" applyFont="1" applyBorder="1"/>
    <xf numFmtId="166" fontId="6" fillId="4" borderId="0" xfId="0" applyNumberFormat="1" applyFont="1" applyFill="1" applyAlignment="1">
      <alignment horizontal="center" vertical="center"/>
    </xf>
    <xf numFmtId="41" fontId="4" fillId="0" borderId="0" xfId="2" applyNumberFormat="1" applyFont="1"/>
    <xf numFmtId="164" fontId="4" fillId="0" borderId="0" xfId="0" applyNumberFormat="1" applyFont="1"/>
    <xf numFmtId="41" fontId="4" fillId="0" borderId="6" xfId="2" applyNumberFormat="1" applyFont="1" applyBorder="1"/>
    <xf numFmtId="41" fontId="4" fillId="0" borderId="0" xfId="2" applyNumberFormat="1" applyFont="1" applyBorder="1"/>
    <xf numFmtId="164" fontId="5" fillId="0" borderId="0" xfId="2" applyNumberFormat="1" applyFont="1" applyBorder="1"/>
    <xf numFmtId="41" fontId="5" fillId="0" borderId="5" xfId="0" applyNumberFormat="1" applyFon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3" fontId="13" fillId="0" borderId="0" xfId="0" applyNumberFormat="1" applyFont="1"/>
    <xf numFmtId="0" fontId="14" fillId="0" borderId="0" xfId="0" applyFont="1"/>
    <xf numFmtId="0" fontId="13" fillId="0" borderId="0" xfId="0" applyFont="1"/>
    <xf numFmtId="41" fontId="15" fillId="0" borderId="0" xfId="0" applyNumberFormat="1" applyFont="1"/>
    <xf numFmtId="41" fontId="16" fillId="0" borderId="0" xfId="0" applyNumberFormat="1" applyFont="1"/>
    <xf numFmtId="0" fontId="17" fillId="0" borderId="0" xfId="0" applyFont="1"/>
    <xf numFmtId="164" fontId="5" fillId="0" borderId="0" xfId="0" applyNumberFormat="1" applyFont="1"/>
    <xf numFmtId="165" fontId="5" fillId="0" borderId="5" xfId="0" applyNumberFormat="1" applyFont="1" applyBorder="1"/>
    <xf numFmtId="41" fontId="9" fillId="0" borderId="0" xfId="0" applyNumberFormat="1" applyFont="1"/>
    <xf numFmtId="0" fontId="4" fillId="0" borderId="0" xfId="0" applyFont="1" applyAlignment="1">
      <alignment horizontal="left" indent="1"/>
    </xf>
    <xf numFmtId="0" fontId="4" fillId="0" borderId="6" xfId="0" applyFont="1" applyBorder="1" applyAlignment="1">
      <alignment horizontal="left" indent="1"/>
    </xf>
    <xf numFmtId="41" fontId="9" fillId="0" borderId="0" xfId="0" applyNumberFormat="1" applyFont="1" applyAlignment="1">
      <alignment wrapText="1"/>
    </xf>
    <xf numFmtId="164" fontId="5" fillId="0" borderId="5" xfId="2" applyNumberFormat="1" applyFont="1" applyBorder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indent="1"/>
    </xf>
    <xf numFmtId="0" fontId="10" fillId="0" borderId="0" xfId="0" applyFont="1" applyAlignment="1">
      <alignment horizontal="left"/>
    </xf>
    <xf numFmtId="0" fontId="19" fillId="0" borderId="0" xfId="0" applyFont="1"/>
    <xf numFmtId="3" fontId="4" fillId="0" borderId="0" xfId="0" applyNumberFormat="1" applyFont="1"/>
    <xf numFmtId="0" fontId="1" fillId="0" borderId="0" xfId="1"/>
    <xf numFmtId="0" fontId="10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10" fillId="2" borderId="0" xfId="0" applyFont="1" applyFill="1" applyAlignment="1">
      <alignment horizontal="left" vertical="center"/>
    </xf>
    <xf numFmtId="168" fontId="4" fillId="0" borderId="0" xfId="3" applyNumberFormat="1" applyFont="1"/>
    <xf numFmtId="10" fontId="4" fillId="0" borderId="0" xfId="3" applyNumberFormat="1" applyFont="1"/>
    <xf numFmtId="0" fontId="20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2" fillId="0" borderId="0" xfId="0" applyFont="1"/>
    <xf numFmtId="0" fontId="24" fillId="0" borderId="0" xfId="1" applyFont="1"/>
    <xf numFmtId="0" fontId="22" fillId="0" borderId="0" xfId="0" applyFont="1"/>
    <xf numFmtId="0" fontId="16" fillId="0" borderId="0" xfId="0" applyFont="1"/>
    <xf numFmtId="0" fontId="21" fillId="0" borderId="0" xfId="0" applyFont="1"/>
    <xf numFmtId="0" fontId="26" fillId="0" borderId="0" xfId="0" applyFont="1" applyAlignment="1">
      <alignment horizontal="left" indent="1"/>
    </xf>
    <xf numFmtId="0" fontId="21" fillId="2" borderId="1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/>
    </xf>
    <xf numFmtId="0" fontId="21" fillId="2" borderId="3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5" fillId="5" borderId="0" xfId="0" applyFont="1" applyFill="1" applyAlignment="1">
      <alignment horizontal="center" vertical="center"/>
    </xf>
    <xf numFmtId="0" fontId="31" fillId="0" borderId="0" xfId="0" applyFont="1"/>
    <xf numFmtId="0" fontId="4" fillId="0" borderId="7" xfId="0" applyFont="1" applyBorder="1" applyAlignment="1">
      <alignment horizontal="center"/>
    </xf>
    <xf numFmtId="0" fontId="5" fillId="5" borderId="0" xfId="0" applyFont="1" applyFill="1"/>
    <xf numFmtId="0" fontId="27" fillId="5" borderId="0" xfId="0" applyFont="1" applyFill="1"/>
    <xf numFmtId="0" fontId="32" fillId="0" borderId="0" xfId="0" applyFont="1"/>
    <xf numFmtId="0" fontId="26" fillId="0" borderId="8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7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33" formatCode="_(* #,##0_);_(* \(#,##0\);_(* &quot;-&quot;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3" formatCode="_(* #,##0_);_(* \(#,##0\);_(* &quot;-&quot;_);_(@_)"/>
    </dxf>
    <dxf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88.603734027776" createdVersion="8" refreshedVersion="8" minRefreshableVersion="3" recordCount="262" xr:uid="{65BC0049-9535-064A-8CB7-E230D3141743}">
  <cacheSource type="worksheet">
    <worksheetSource name="Query"/>
  </cacheSource>
  <cacheFields count="3">
    <cacheField name="Metric" numFmtId="0">
      <sharedItems count="45">
        <s v="Revenue"/>
        <s v="NetIncomeLoss"/>
        <s v="OperatingIncomeLoss"/>
        <s v="Compensation"/>
        <s v="GeneralAndAdministrativeExpense"/>
        <s v="DepreciationAndAmortization"/>
        <s v="InterestExpense"/>
        <s v="IncomeTaxExpense"/>
        <s v="Assets"/>
        <s v="Liabilities"/>
        <s v="LongTermDebt"/>
        <s v="StockholdersEquity"/>
        <s v="Cash"/>
        <s v="OperatingCashFlow"/>
        <s v="InvestingCashFlow"/>
        <s v="FinancingCashFlow"/>
        <s v="MinorityInterest"/>
        <s v="ShareBasedCompensation"/>
        <s v="RepaymentsOfDebt"/>
        <s v="DividendsPaid"/>
        <s v="EPSDiluted"/>
        <s v="SharesOutstanding"/>
        <s v="ProceedsFromDebt"/>
        <s v="ProceedsFromEquity"/>
        <s v="DebtFairValue"/>
        <s v="ConsolidatedNetIncome"/>
        <s v="Depreciation"/>
        <s v="PPENet"/>
        <s v="InterestAndDividendIncome"/>
        <s v="GainLossOnInvestments"/>
        <s v="Investments"/>
        <s v="DueFromRelatedParties"/>
        <s v="Goodwill"/>
        <s v="OtherAssets"/>
        <s v="IntangibleAssetsNet"/>
        <s v="AccruedCompensation"/>
        <s v="AccountsPayableAndOther"/>
        <s v="DeferredTaxLiabilities"/>
        <s v="AdditionalPaidInCapital"/>
        <s v="AccumulatedDeficit"/>
        <s v="OperatingLeaseRightOfUseAsset"/>
        <s v="OperatingLeaseLiability"/>
        <s v="CapEx"/>
        <s v="AcquisitionPayments"/>
        <s v="Revenues" u="1"/>
      </sharedItems>
    </cacheField>
    <cacheField name="Date" numFmtId="0">
      <sharedItems count="10">
        <s v="2019-12-31"/>
        <s v="2020-12-31"/>
        <s v="2021-12-31"/>
        <s v="2022-12-31"/>
        <s v="2023-12-31"/>
        <s v="2024-12-31"/>
        <s v="2025-12-31"/>
        <s v="2020-08-19"/>
        <s v="2020-12-07"/>
        <s v="2021-01-01"/>
      </sharedItems>
    </cacheField>
    <cacheField name="Value" numFmtId="0">
      <sharedItems containsSemiMixedTypes="0" containsString="0" containsNumber="1" minValue="-1802266000" maxValue="1246768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x v="0"/>
    <x v="0"/>
    <n v="190850000"/>
  </r>
  <r>
    <x v="0"/>
    <x v="1"/>
    <n v="249815000"/>
  </r>
  <r>
    <x v="0"/>
    <x v="2"/>
    <n v="823878000"/>
  </r>
  <r>
    <x v="0"/>
    <x v="3"/>
    <n v="1369722000"/>
  </r>
  <r>
    <x v="0"/>
    <x v="4"/>
    <n v="1731608000"/>
  </r>
  <r>
    <x v="0"/>
    <x v="5"/>
    <n v="2295427000"/>
  </r>
  <r>
    <x v="0"/>
    <x v="6"/>
    <n v="2870178000"/>
  </r>
  <r>
    <x v="1"/>
    <x v="0"/>
    <n v="22958000"/>
  </r>
  <r>
    <x v="1"/>
    <x v="1"/>
    <n v="-77831000"/>
  </r>
  <r>
    <x v="1"/>
    <x v="2"/>
    <n v="-376171000"/>
  </r>
  <r>
    <x v="1"/>
    <x v="3"/>
    <n v="-9289000"/>
  </r>
  <r>
    <x v="1"/>
    <x v="4"/>
    <n v="54343000"/>
  </r>
  <r>
    <x v="1"/>
    <x v="5"/>
    <n v="109584000"/>
  </r>
  <r>
    <x v="1"/>
    <x v="6"/>
    <n v="78833000"/>
  </r>
  <r>
    <x v="2"/>
    <x v="1"/>
    <n v="-299659"/>
  </r>
  <r>
    <x v="3"/>
    <x v="0"/>
    <n v="111773000"/>
  </r>
  <r>
    <x v="3"/>
    <x v="1"/>
    <n v="240731000"/>
  </r>
  <r>
    <x v="3"/>
    <x v="2"/>
    <n v="1496988000"/>
  </r>
  <r>
    <x v="3"/>
    <x v="3"/>
    <n v="894686000"/>
  </r>
  <r>
    <x v="3"/>
    <x v="4"/>
    <n v="870642000"/>
  </r>
  <r>
    <x v="3"/>
    <x v="5"/>
    <n v="1017483000"/>
  </r>
  <r>
    <x v="3"/>
    <x v="6"/>
    <n v="1307040000"/>
  </r>
  <r>
    <x v="4"/>
    <x v="0"/>
    <n v="51710000"/>
  </r>
  <r>
    <x v="4"/>
    <x v="1"/>
    <n v="67811000"/>
  </r>
  <r>
    <x v="4"/>
    <x v="2"/>
    <n v="140268000"/>
  </r>
  <r>
    <x v="4"/>
    <x v="3"/>
    <n v="220610000"/>
  </r>
  <r>
    <x v="4"/>
    <x v="4"/>
    <n v="242809000"/>
  </r>
  <r>
    <x v="4"/>
    <x v="5"/>
    <n v="412931000"/>
  </r>
  <r>
    <x v="4"/>
    <x v="6"/>
    <n v="747936000"/>
  </r>
  <r>
    <x v="5"/>
    <x v="0"/>
    <n v="0"/>
  </r>
  <r>
    <x v="5"/>
    <x v="1"/>
    <n v="0"/>
  </r>
  <r>
    <x v="5"/>
    <x v="2"/>
    <n v="113889000"/>
  </r>
  <r>
    <x v="5"/>
    <x v="3"/>
    <n v="256909000"/>
  </r>
  <r>
    <x v="5"/>
    <x v="4"/>
    <n v="300341000"/>
  </r>
  <r>
    <x v="5"/>
    <x v="5"/>
    <n v="258256000"/>
  </r>
  <r>
    <x v="5"/>
    <x v="6"/>
    <n v="358952000"/>
  </r>
  <r>
    <x v="6"/>
    <x v="0"/>
    <n v="6662000"/>
  </r>
  <r>
    <x v="6"/>
    <x v="1"/>
    <n v="23816000"/>
  </r>
  <r>
    <x v="6"/>
    <x v="2"/>
    <n v="27275000"/>
  </r>
  <r>
    <x v="6"/>
    <x v="3"/>
    <n v="55711000"/>
  </r>
  <r>
    <x v="6"/>
    <x v="4"/>
    <n v="75696000"/>
  </r>
  <r>
    <x v="7"/>
    <x v="0"/>
    <n v="240000"/>
  </r>
  <r>
    <x v="7"/>
    <x v="1"/>
    <n v="-102000"/>
  </r>
  <r>
    <x v="7"/>
    <x v="2"/>
    <n v="-65211000"/>
  </r>
  <r>
    <x v="7"/>
    <x v="3"/>
    <n v="-9380000"/>
  </r>
  <r>
    <x v="7"/>
    <x v="4"/>
    <n v="25608000"/>
  </r>
  <r>
    <x v="7"/>
    <x v="5"/>
    <n v="48782000"/>
  </r>
  <r>
    <x v="7"/>
    <x v="6"/>
    <n v="42424000"/>
  </r>
  <r>
    <x v="8"/>
    <x v="1"/>
    <n v="276316182"/>
  </r>
  <r>
    <x v="8"/>
    <x v="2"/>
    <n v="8266398000"/>
  </r>
  <r>
    <x v="8"/>
    <x v="3"/>
    <n v="8893075000"/>
  </r>
  <r>
    <x v="8"/>
    <x v="4"/>
    <n v="8817621000"/>
  </r>
  <r>
    <x v="8"/>
    <x v="5"/>
    <n v="10992470000"/>
  </r>
  <r>
    <x v="8"/>
    <x v="6"/>
    <n v="12467684000"/>
  </r>
  <r>
    <x v="9"/>
    <x v="1"/>
    <n v="9767101"/>
  </r>
  <r>
    <x v="9"/>
    <x v="2"/>
    <n v="2418828000"/>
  </r>
  <r>
    <x v="9"/>
    <x v="3"/>
    <n v="3344189000"/>
  </r>
  <r>
    <x v="9"/>
    <x v="4"/>
    <n v="3539690000"/>
  </r>
  <r>
    <x v="9"/>
    <x v="5"/>
    <n v="5186434000"/>
  </r>
  <r>
    <x v="9"/>
    <x v="6"/>
    <n v="6413485000"/>
  </r>
  <r>
    <x v="10"/>
    <x v="1"/>
    <n v="356386000"/>
  </r>
  <r>
    <x v="10"/>
    <x v="2"/>
    <n v="1174167000"/>
  </r>
  <r>
    <x v="10"/>
    <x v="3"/>
    <n v="1624771000"/>
  </r>
  <r>
    <x v="10"/>
    <x v="4"/>
    <n v="1681241000"/>
  </r>
  <r>
    <x v="10"/>
    <x v="5"/>
    <n v="2588496000"/>
  </r>
  <r>
    <x v="10"/>
    <x v="6"/>
    <n v="3324426000"/>
  </r>
  <r>
    <x v="11"/>
    <x v="7"/>
    <n v="0"/>
  </r>
  <r>
    <x v="11"/>
    <x v="1"/>
    <n v="5000001"/>
  </r>
  <r>
    <x v="11"/>
    <x v="2"/>
    <n v="1663567000"/>
  </r>
  <r>
    <x v="11"/>
    <x v="3"/>
    <n v="1604698000"/>
  </r>
  <r>
    <x v="11"/>
    <x v="4"/>
    <n v="1528239000"/>
  </r>
  <r>
    <x v="11"/>
    <x v="5"/>
    <n v="2127758000"/>
  </r>
  <r>
    <x v="11"/>
    <x v="6"/>
    <n v="2205362000"/>
  </r>
  <r>
    <x v="12"/>
    <x v="1"/>
    <n v="11630000"/>
  </r>
  <r>
    <x v="12"/>
    <x v="2"/>
    <n v="42567000"/>
  </r>
  <r>
    <x v="12"/>
    <x v="3"/>
    <n v="68079000"/>
  </r>
  <r>
    <x v="12"/>
    <x v="4"/>
    <n v="104160000"/>
  </r>
  <r>
    <x v="12"/>
    <x v="5"/>
    <n v="152089000"/>
  </r>
  <r>
    <x v="12"/>
    <x v="6"/>
    <n v="194512000"/>
  </r>
  <r>
    <x v="13"/>
    <x v="0"/>
    <n v="44064000"/>
  </r>
  <r>
    <x v="13"/>
    <x v="1"/>
    <n v="5234000"/>
  </r>
  <r>
    <x v="13"/>
    <x v="2"/>
    <n v="281658000"/>
  </r>
  <r>
    <x v="13"/>
    <x v="3"/>
    <n v="728447000"/>
  </r>
  <r>
    <x v="13"/>
    <x v="4"/>
    <n v="949145000"/>
  </r>
  <r>
    <x v="13"/>
    <x v="5"/>
    <n v="999555000"/>
  </r>
  <r>
    <x v="13"/>
    <x v="6"/>
    <n v="1256032000"/>
  </r>
  <r>
    <x v="14"/>
    <x v="0"/>
    <n v="-1173000"/>
  </r>
  <r>
    <x v="14"/>
    <x v="1"/>
    <n v="-652000"/>
  </r>
  <r>
    <x v="14"/>
    <x v="2"/>
    <n v="-1598872000"/>
  </r>
  <r>
    <x v="14"/>
    <x v="3"/>
    <n v="-485218000"/>
  </r>
  <r>
    <x v="14"/>
    <x v="4"/>
    <n v="-118031000"/>
  </r>
  <r>
    <x v="14"/>
    <x v="5"/>
    <n v="-638145000"/>
  </r>
  <r>
    <x v="14"/>
    <x v="6"/>
    <n v="-270571000"/>
  </r>
  <r>
    <x v="15"/>
    <x v="0"/>
    <n v="-43007000"/>
  </r>
  <r>
    <x v="15"/>
    <x v="1"/>
    <n v="-295000"/>
  </r>
  <r>
    <x v="15"/>
    <x v="2"/>
    <n v="1348151000"/>
  </r>
  <r>
    <x v="15"/>
    <x v="3"/>
    <n v="-217717000"/>
  </r>
  <r>
    <x v="15"/>
    <x v="4"/>
    <n v="-795033000"/>
  </r>
  <r>
    <x v="15"/>
    <x v="5"/>
    <n v="-313481000"/>
  </r>
  <r>
    <x v="15"/>
    <x v="6"/>
    <n v="-943038000"/>
  </r>
  <r>
    <x v="16"/>
    <x v="1"/>
    <n v="6526000"/>
  </r>
  <r>
    <x v="16"/>
    <x v="2"/>
    <n v="4184003000"/>
  </r>
  <r>
    <x v="16"/>
    <x v="3"/>
    <n v="3944188000"/>
  </r>
  <r>
    <x v="16"/>
    <x v="4"/>
    <n v="3749692000"/>
  </r>
  <r>
    <x v="16"/>
    <x v="5"/>
    <n v="3678278000"/>
  </r>
  <r>
    <x v="16"/>
    <x v="6"/>
    <n v="3848837000"/>
  </r>
  <r>
    <x v="17"/>
    <x v="0"/>
    <n v="0"/>
  </r>
  <r>
    <x v="17"/>
    <x v="1"/>
    <n v="0"/>
  </r>
  <r>
    <x v="17"/>
    <x v="2"/>
    <n v="1205336000"/>
  </r>
  <r>
    <x v="17"/>
    <x v="3"/>
    <n v="420832000"/>
  </r>
  <r>
    <x v="17"/>
    <x v="4"/>
    <n v="312564000"/>
  </r>
  <r>
    <x v="17"/>
    <x v="5"/>
    <n v="312609000"/>
  </r>
  <r>
    <x v="17"/>
    <x v="6"/>
    <n v="673524000"/>
  </r>
  <r>
    <x v="18"/>
    <x v="0"/>
    <n v="83590000"/>
  </r>
  <r>
    <x v="18"/>
    <x v="1"/>
    <n v="171458000"/>
  </r>
  <r>
    <x v="18"/>
    <x v="2"/>
    <n v="577835000"/>
  </r>
  <r>
    <x v="18"/>
    <x v="3"/>
    <n v="323000000"/>
  </r>
  <r>
    <x v="18"/>
    <x v="4"/>
    <n v="1000000000"/>
  </r>
  <r>
    <x v="18"/>
    <x v="5"/>
    <n v="1245000000"/>
  </r>
  <r>
    <x v="18"/>
    <x v="6"/>
    <n v="1540000000"/>
  </r>
  <r>
    <x v="19"/>
    <x v="0"/>
    <n v="0"/>
  </r>
  <r>
    <x v="19"/>
    <x v="1"/>
    <n v="0"/>
  </r>
  <r>
    <x v="19"/>
    <x v="2"/>
    <n v="47076000"/>
  </r>
  <r>
    <x v="19"/>
    <x v="3"/>
    <n v="182550000"/>
  </r>
  <r>
    <x v="19"/>
    <x v="4"/>
    <n v="247882000"/>
  </r>
  <r>
    <x v="19"/>
    <x v="5"/>
    <n v="368331000"/>
  </r>
  <r>
    <x v="19"/>
    <x v="6"/>
    <n v="546657000"/>
  </r>
  <r>
    <x v="20"/>
    <x v="2"/>
    <n v="-1.34"/>
  </r>
  <r>
    <x v="20"/>
    <x v="3"/>
    <n v="-0.02"/>
  </r>
  <r>
    <x v="20"/>
    <x v="4"/>
    <n v="0.1"/>
  </r>
  <r>
    <x v="20"/>
    <x v="5"/>
    <n v="0.2"/>
  </r>
  <r>
    <x v="20"/>
    <x v="6"/>
    <n v="0.1"/>
  </r>
  <r>
    <x v="21"/>
    <x v="8"/>
    <n v="6875000"/>
  </r>
  <r>
    <x v="22"/>
    <x v="0"/>
    <n v="344944000"/>
  </r>
  <r>
    <x v="22"/>
    <x v="1"/>
    <n v="240547000"/>
  </r>
  <r>
    <x v="22"/>
    <x v="2"/>
    <n v="1390296000"/>
  </r>
  <r>
    <x v="22"/>
    <x v="3"/>
    <n v="775060000"/>
  </r>
  <r>
    <x v="22"/>
    <x v="4"/>
    <n v="1054800000"/>
  </r>
  <r>
    <x v="22"/>
    <x v="5"/>
    <n v="2170000000"/>
  </r>
  <r>
    <x v="22"/>
    <x v="6"/>
    <n v="2270000000"/>
  </r>
  <r>
    <x v="23"/>
    <x v="1"/>
    <n v="269500000"/>
  </r>
  <r>
    <x v="24"/>
    <x v="3"/>
    <n v="1300000000"/>
  </r>
  <r>
    <x v="24"/>
    <x v="4"/>
    <n v="1400000000"/>
  </r>
  <r>
    <x v="24"/>
    <x v="5"/>
    <n v="2500000000"/>
  </r>
  <r>
    <x v="24"/>
    <x v="6"/>
    <n v="3200000000"/>
  </r>
  <r>
    <x v="25"/>
    <x v="0"/>
    <n v="20465000"/>
  </r>
  <r>
    <x v="25"/>
    <x v="1"/>
    <n v="-82441000"/>
  </r>
  <r>
    <x v="25"/>
    <x v="2"/>
    <n v="-1802266000"/>
  </r>
  <r>
    <x v="25"/>
    <x v="3"/>
    <n v="-40235000"/>
  </r>
  <r>
    <x v="25"/>
    <x v="4"/>
    <n v="220776000"/>
  </r>
  <r>
    <x v="25"/>
    <x v="5"/>
    <n v="420446000"/>
  </r>
  <r>
    <x v="25"/>
    <x v="6"/>
    <n v="305487000"/>
  </r>
  <r>
    <x v="26"/>
    <x v="0"/>
    <n v="829000"/>
  </r>
  <r>
    <x v="26"/>
    <x v="1"/>
    <n v="673000"/>
  </r>
  <r>
    <x v="26"/>
    <x v="2"/>
    <n v="665000"/>
  </r>
  <r>
    <x v="26"/>
    <x v="3"/>
    <n v="2304000"/>
  </r>
  <r>
    <x v="26"/>
    <x v="4"/>
    <n v="10226000"/>
  </r>
  <r>
    <x v="26"/>
    <x v="5"/>
    <n v="16660000"/>
  </r>
  <r>
    <x v="26"/>
    <x v="6"/>
    <n v="23446000"/>
  </r>
  <r>
    <x v="27"/>
    <x v="1"/>
    <n v="3356000"/>
  </r>
  <r>
    <x v="27"/>
    <x v="2"/>
    <n v="7951000"/>
  </r>
  <r>
    <x v="27"/>
    <x v="3"/>
    <n v="71190000"/>
  </r>
  <r>
    <x v="27"/>
    <x v="4"/>
    <n v="134893000"/>
  </r>
  <r>
    <x v="27"/>
    <x v="5"/>
    <n v="187749000"/>
  </r>
  <r>
    <x v="27"/>
    <x v="6"/>
    <n v="218941000"/>
  </r>
  <r>
    <x v="28"/>
    <x v="2"/>
    <n v="387000"/>
  </r>
  <r>
    <x v="28"/>
    <x v="3"/>
    <n v="4357000"/>
  </r>
  <r>
    <x v="28"/>
    <x v="4"/>
    <n v="22176000"/>
  </r>
  <r>
    <x v="28"/>
    <x v="5"/>
    <n v="42172000"/>
  </r>
  <r>
    <x v="28"/>
    <x v="6"/>
    <n v="45184000"/>
  </r>
  <r>
    <x v="29"/>
    <x v="0"/>
    <n v="0"/>
  </r>
  <r>
    <x v="29"/>
    <x v="1"/>
    <n v="0"/>
  </r>
  <r>
    <x v="29"/>
    <x v="2"/>
    <n v="-3526000"/>
  </r>
  <r>
    <x v="29"/>
    <x v="3"/>
    <n v="-132000"/>
  </r>
  <r>
    <x v="29"/>
    <x v="4"/>
    <n v="4203000"/>
  </r>
  <r>
    <x v="29"/>
    <x v="5"/>
    <n v="1713000"/>
  </r>
  <r>
    <x v="29"/>
    <x v="6"/>
    <n v="-7105000"/>
  </r>
  <r>
    <x v="30"/>
    <x v="1"/>
    <n v="2678000"/>
  </r>
  <r>
    <x v="30"/>
    <x v="2"/>
    <n v="12143000"/>
  </r>
  <r>
    <x v="30"/>
    <x v="3"/>
    <n v="317231000"/>
  </r>
  <r>
    <x v="30"/>
    <x v="4"/>
    <n v="344265000"/>
  </r>
  <r>
    <x v="30"/>
    <x v="5"/>
    <n v="486945000"/>
  </r>
  <r>
    <x v="30"/>
    <x v="6"/>
    <n v="484389000"/>
  </r>
  <r>
    <x v="31"/>
    <x v="1"/>
    <n v="92698000"/>
  </r>
  <r>
    <x v="31"/>
    <x v="2"/>
    <n v="224576000"/>
  </r>
  <r>
    <x v="31"/>
    <x v="3"/>
    <n v="357921000"/>
  </r>
  <r>
    <x v="32"/>
    <x v="1"/>
    <n v="0"/>
  </r>
  <r>
    <x v="32"/>
    <x v="2"/>
    <n v="4132245000"/>
  </r>
  <r>
    <x v="32"/>
    <x v="3"/>
    <n v="4205159000"/>
  </r>
  <r>
    <x v="32"/>
    <x v="4"/>
    <n v="4224153000"/>
  </r>
  <r>
    <x v="32"/>
    <x v="5"/>
    <n v="4699465000"/>
  </r>
  <r>
    <x v="32"/>
    <x v="6"/>
    <n v="5624469000"/>
  </r>
  <r>
    <x v="33"/>
    <x v="1"/>
    <n v="16469000"/>
  </r>
  <r>
    <x v="33"/>
    <x v="2"/>
    <n v="38620000"/>
  </r>
  <r>
    <x v="33"/>
    <x v="3"/>
    <n v="99679000"/>
  </r>
  <r>
    <x v="33"/>
    <x v="4"/>
    <n v="187455000"/>
  </r>
  <r>
    <x v="33"/>
    <x v="5"/>
    <n v="258748000"/>
  </r>
  <r>
    <x v="33"/>
    <x v="6"/>
    <n v="382519000"/>
  </r>
  <r>
    <x v="34"/>
    <x v="1"/>
    <n v="0"/>
  </r>
  <r>
    <x v="34"/>
    <x v="2"/>
    <n v="2611411000"/>
  </r>
  <r>
    <x v="34"/>
    <x v="3"/>
    <n v="2405422000"/>
  </r>
  <r>
    <x v="34"/>
    <x v="4"/>
    <n v="2110008000"/>
  </r>
  <r>
    <x v="34"/>
    <x v="5"/>
    <n v="2902752000"/>
  </r>
  <r>
    <x v="34"/>
    <x v="6"/>
    <n v="2888800000"/>
  </r>
  <r>
    <x v="35"/>
    <x v="1"/>
    <n v="207957000"/>
  </r>
  <r>
    <x v="35"/>
    <x v="2"/>
    <n v="155606000"/>
  </r>
  <r>
    <x v="35"/>
    <x v="3"/>
    <n v="309644000"/>
  </r>
  <r>
    <x v="35"/>
    <x v="4"/>
    <n v="370726000"/>
  </r>
  <r>
    <x v="35"/>
    <x v="5"/>
    <n v="424024000"/>
  </r>
  <r>
    <x v="35"/>
    <x v="6"/>
    <n v="525550000"/>
  </r>
  <r>
    <x v="36"/>
    <x v="1"/>
    <n v="58415000"/>
  </r>
  <r>
    <x v="36"/>
    <x v="2"/>
    <n v="68339000"/>
  </r>
  <r>
    <x v="36"/>
    <x v="3"/>
    <n v="126559000"/>
  </r>
  <r>
    <x v="36"/>
    <x v="4"/>
    <n v="138754000"/>
  </r>
  <r>
    <x v="36"/>
    <x v="5"/>
    <n v="165953000"/>
  </r>
  <r>
    <x v="36"/>
    <x v="6"/>
    <n v="163000000"/>
  </r>
  <r>
    <x v="37"/>
    <x v="1"/>
    <n v="0"/>
  </r>
  <r>
    <x v="37"/>
    <x v="2"/>
    <n v="48962000"/>
  </r>
  <r>
    <x v="37"/>
    <x v="3"/>
    <n v="41791000"/>
  </r>
  <r>
    <x v="37"/>
    <x v="4"/>
    <n v="34419000"/>
  </r>
  <r>
    <x v="37"/>
    <x v="5"/>
    <n v="36867000"/>
  </r>
  <r>
    <x v="37"/>
    <x v="6"/>
    <n v="39663000"/>
  </r>
  <r>
    <x v="38"/>
    <x v="1"/>
    <n v="5260809"/>
  </r>
  <r>
    <x v="38"/>
    <x v="2"/>
    <n v="2160934000"/>
  </r>
  <r>
    <x v="38"/>
    <x v="3"/>
    <n v="2293903000"/>
  </r>
  <r>
    <x v="38"/>
    <x v="4"/>
    <n v="2410982000"/>
  </r>
  <r>
    <x v="38"/>
    <x v="5"/>
    <n v="3269239000"/>
  </r>
  <r>
    <x v="38"/>
    <x v="6"/>
    <n v="3812770000"/>
  </r>
  <r>
    <x v="39"/>
    <x v="1"/>
    <n v="-261631"/>
  </r>
  <r>
    <x v="39"/>
    <x v="2"/>
    <n v="-497506000"/>
  </r>
  <r>
    <x v="39"/>
    <x v="3"/>
    <n v="-689345000"/>
  </r>
  <r>
    <x v="39"/>
    <x v="4"/>
    <n v="-882884000"/>
  </r>
  <r>
    <x v="39"/>
    <x v="5"/>
    <n v="-1141631000"/>
  </r>
  <r>
    <x v="39"/>
    <x v="6"/>
    <n v="-1609455000"/>
  </r>
  <r>
    <x v="40"/>
    <x v="1"/>
    <n v="0"/>
  </r>
  <r>
    <x v="40"/>
    <x v="9"/>
    <n v="13800000"/>
  </r>
  <r>
    <x v="40"/>
    <x v="2"/>
    <n v="86033000"/>
  </r>
  <r>
    <x v="40"/>
    <x v="3"/>
    <n v="224411000"/>
  </r>
  <r>
    <x v="40"/>
    <x v="4"/>
    <n v="281669000"/>
  </r>
  <r>
    <x v="40"/>
    <x v="5"/>
    <n v="325090000"/>
  </r>
  <r>
    <x v="40"/>
    <x v="6"/>
    <n v="456204000"/>
  </r>
  <r>
    <x v="41"/>
    <x v="1"/>
    <n v="0"/>
  </r>
  <r>
    <x v="41"/>
    <x v="9"/>
    <n v="14400000"/>
  </r>
  <r>
    <x v="41"/>
    <x v="2"/>
    <n v="88480000"/>
  </r>
  <r>
    <x v="41"/>
    <x v="3"/>
    <n v="239844000"/>
  </r>
  <r>
    <x v="41"/>
    <x v="4"/>
    <n v="319532000"/>
  </r>
  <r>
    <x v="41"/>
    <x v="5"/>
    <n v="390353000"/>
  </r>
  <r>
    <x v="41"/>
    <x v="6"/>
    <n v="538147000"/>
  </r>
  <r>
    <x v="42"/>
    <x v="0"/>
    <n v="1173000"/>
  </r>
  <r>
    <x v="42"/>
    <x v="1"/>
    <n v="652000"/>
  </r>
  <r>
    <x v="42"/>
    <x v="2"/>
    <n v="5261000"/>
  </r>
  <r>
    <x v="42"/>
    <x v="3"/>
    <n v="65539000"/>
  </r>
  <r>
    <x v="42"/>
    <x v="4"/>
    <n v="67905000"/>
  </r>
  <r>
    <x v="42"/>
    <x v="5"/>
    <n v="64187000"/>
  </r>
  <r>
    <x v="42"/>
    <x v="6"/>
    <n v="57748000"/>
  </r>
  <r>
    <x v="43"/>
    <x v="0"/>
    <n v="0"/>
  </r>
  <r>
    <x v="43"/>
    <x v="1"/>
    <n v="0"/>
  </r>
  <r>
    <x v="43"/>
    <x v="2"/>
    <n v="1578866000"/>
  </r>
  <r>
    <x v="43"/>
    <x v="3"/>
    <n v="114454000"/>
  </r>
  <r>
    <x v="43"/>
    <x v="4"/>
    <n v="26265000"/>
  </r>
  <r>
    <x v="43"/>
    <x v="5"/>
    <n v="445210000"/>
  </r>
  <r>
    <x v="43"/>
    <x v="6"/>
    <n v="2445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BA797-664B-C948-A075-26DEF097000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2:I46" firstHeaderRow="1" firstDataRow="2" firstDataCol="1"/>
  <pivotFields count="3">
    <pivotField axis="axisRow" showAll="0">
      <items count="46">
        <item x="8"/>
        <item x="12"/>
        <item x="3"/>
        <item x="5"/>
        <item x="15"/>
        <item x="4"/>
        <item x="7"/>
        <item x="6"/>
        <item x="14"/>
        <item x="9"/>
        <item x="10"/>
        <item x="1"/>
        <item x="13"/>
        <item x="2"/>
        <item m="1" x="44"/>
        <item x="11"/>
        <item x="0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axis="axisCol" showAll="0">
      <items count="11">
        <item x="0"/>
        <item h="1" x="7"/>
        <item x="1"/>
        <item x="2"/>
        <item x="3"/>
        <item x="4"/>
        <item x="5"/>
        <item x="6"/>
        <item h="1" x="8"/>
        <item h="1" x="9"/>
        <item t="default"/>
      </items>
    </pivotField>
    <pivotField dataField="1"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</rowItems>
  <colFields count="1">
    <field x="1"/>
  </colFields>
  <colItems count="7">
    <i>
      <x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Value" fld="2" baseField="0" baseItem="0"/>
  </dataFields>
  <formats count="7">
    <format dxfId="6">
      <pivotArea outline="0" collapsedLevelsAreSubtotals="1" fieldPosition="0">
        <references count="1">
          <reference field="1" count="6" selected="0">
            <x v="2"/>
            <x v="3"/>
            <x v="4"/>
            <x v="5"/>
            <x v="6"/>
            <x v="7"/>
          </reference>
        </references>
      </pivotArea>
    </format>
    <format dxfId="5">
      <pivotArea grandCol="1" outline="0" collapsedLevelsAreSubtotals="1" fieldPosition="0"/>
    </format>
    <format dxfId="4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  <format dxfId="3">
      <pivotArea grandRow="1" outline="0" collapsedLevelsAreSubtotals="1" fieldPosition="0"/>
    </format>
    <format dxfId="2">
      <pivotArea collapsedLevelsAreSubtotals="1" fieldPosition="0">
        <references count="1">
          <reference field="0" count="1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">
      <pivotArea collapsedLevelsAreSubtotals="1" fieldPosition="0">
        <references count="1">
          <reference field="0" count="1">
            <x v="0"/>
          </reference>
        </references>
      </pivotArea>
    </format>
    <format dxfId="0">
      <pivotArea collapsedLevelsAreSubtotals="1" fieldPosition="0">
        <references count="1">
          <reference field="0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BF0BFB-D6AB-A049-9EEE-FB4589F50CA2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Da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27A35-31F2-9A45-A0CE-01ACBFC7292B}" name="Query" displayName="Query" ref="A1:C263" tableType="queryTable" totalsRowShown="0">
  <autoFilter ref="A1:C263" xr:uid="{AB727A35-31F2-9A45-A0CE-01ACBFC7292B}"/>
  <tableColumns count="3">
    <tableColumn id="1" xr3:uid="{3FD5BD69-EC0D-3C4D-A696-EA8F71D3840B}" uniqueName="1" name="Metric" queryTableFieldId="1"/>
    <tableColumn id="2" xr3:uid="{5F68D1D0-3207-9B47-ADEE-1FF6A7E83BAC}" uniqueName="2" name="Date" queryTableFieldId="2"/>
    <tableColumn id="3" xr3:uid="{08206AFA-28D8-9944-B317-929F969544D2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sec.gov/api/xbrl/companyfacts/CIK0001823945.js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ix?doc=/Archives/edgar/data/0001823945/000182394526000009/owl-2025123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7BFA-EAD7-5B4E-8352-D8CD6BAAD1A6}">
  <dimension ref="B1:K72"/>
  <sheetViews>
    <sheetView showGridLines="0" zoomScale="139" zoomScaleNormal="181" workbookViewId="0">
      <selection activeCell="D9" sqref="D9"/>
    </sheetView>
  </sheetViews>
  <sheetFormatPr baseColWidth="10" defaultRowHeight="16" x14ac:dyDescent="0.2"/>
  <cols>
    <col min="1" max="1" width="5.6640625" style="6" customWidth="1"/>
    <col min="2" max="2" width="2.6640625" style="56" customWidth="1"/>
    <col min="3" max="3" width="28.5" style="56" customWidth="1"/>
    <col min="4" max="4" width="22.1640625" style="56" customWidth="1"/>
    <col min="5" max="9" width="10.83203125" style="6"/>
    <col min="10" max="10" width="10.83203125" style="6" customWidth="1"/>
    <col min="11" max="16384" width="10.83203125" style="6"/>
  </cols>
  <sheetData>
    <row r="1" spans="2:11" ht="17" thickBot="1" x14ac:dyDescent="0.25"/>
    <row r="2" spans="2:11" ht="17" customHeight="1" thickBot="1" x14ac:dyDescent="0.25">
      <c r="B2" s="70" t="s">
        <v>285</v>
      </c>
      <c r="C2" s="71"/>
      <c r="D2" s="71"/>
      <c r="E2" s="71"/>
      <c r="F2" s="71"/>
      <c r="G2" s="71"/>
      <c r="H2" s="71"/>
      <c r="I2" s="71"/>
      <c r="J2" s="71"/>
      <c r="K2" s="72"/>
    </row>
    <row r="3" spans="2:11" s="88" customFormat="1" ht="16" customHeight="1" thickBot="1" x14ac:dyDescent="0.25">
      <c r="B3" s="86" t="s">
        <v>286</v>
      </c>
      <c r="C3" s="86"/>
      <c r="D3" s="87"/>
      <c r="E3" s="87"/>
      <c r="F3" s="87"/>
      <c r="G3" s="87"/>
      <c r="H3" s="87"/>
      <c r="I3" s="87"/>
      <c r="J3" s="87"/>
      <c r="K3" s="87"/>
    </row>
    <row r="4" spans="2:11" ht="4" customHeight="1" thickBot="1" x14ac:dyDescent="0.25">
      <c r="C4" s="57"/>
      <c r="D4" s="57"/>
    </row>
    <row r="5" spans="2:11" s="56" customFormat="1" ht="15" customHeight="1" thickBot="1" x14ac:dyDescent="0.25">
      <c r="B5" s="73" t="s">
        <v>54</v>
      </c>
      <c r="C5" s="74"/>
      <c r="F5" s="65" t="s">
        <v>57</v>
      </c>
      <c r="G5" s="66"/>
    </row>
    <row r="6" spans="2:11" ht="5" customHeight="1" x14ac:dyDescent="0.2">
      <c r="F6" s="56"/>
      <c r="G6" s="56"/>
    </row>
    <row r="7" spans="2:11" ht="13" customHeight="1" x14ac:dyDescent="0.2">
      <c r="B7" s="58">
        <v>1</v>
      </c>
      <c r="C7" s="59" t="s">
        <v>28</v>
      </c>
      <c r="F7" s="59" t="s">
        <v>255</v>
      </c>
      <c r="G7" s="56"/>
    </row>
    <row r="8" spans="2:11" ht="13" customHeight="1" x14ac:dyDescent="0.2">
      <c r="B8" s="58">
        <v>2</v>
      </c>
      <c r="C8" s="59" t="s">
        <v>256</v>
      </c>
      <c r="F8" s="59" t="s">
        <v>257</v>
      </c>
      <c r="G8" s="56"/>
    </row>
    <row r="9" spans="2:11" ht="13" customHeight="1" x14ac:dyDescent="0.2">
      <c r="B9" s="58">
        <v>3</v>
      </c>
      <c r="C9" s="59" t="s">
        <v>258</v>
      </c>
      <c r="F9" s="59" t="s">
        <v>61</v>
      </c>
      <c r="G9" s="56"/>
    </row>
    <row r="10" spans="2:11" ht="13" customHeight="1" x14ac:dyDescent="0.2">
      <c r="B10" s="58">
        <v>4</v>
      </c>
      <c r="C10" s="59" t="s">
        <v>259</v>
      </c>
      <c r="F10" s="59" t="s">
        <v>260</v>
      </c>
      <c r="G10" s="56"/>
    </row>
    <row r="11" spans="2:11" ht="13" customHeight="1" x14ac:dyDescent="0.2">
      <c r="B11" s="58">
        <v>5</v>
      </c>
      <c r="C11" s="59" t="s">
        <v>261</v>
      </c>
      <c r="F11" s="69" t="s">
        <v>66</v>
      </c>
    </row>
    <row r="12" spans="2:11" s="56" customFormat="1" ht="5" customHeight="1" thickBot="1" x14ac:dyDescent="0.25">
      <c r="F12" s="6"/>
    </row>
    <row r="13" spans="2:11" ht="16" customHeight="1" thickBot="1" x14ac:dyDescent="0.25">
      <c r="B13" s="65" t="s">
        <v>55</v>
      </c>
      <c r="C13" s="66"/>
      <c r="F13" s="6" t="s">
        <v>67</v>
      </c>
    </row>
    <row r="14" spans="2:11" ht="6" customHeight="1" x14ac:dyDescent="0.2"/>
    <row r="15" spans="2:11" ht="12" customHeight="1" x14ac:dyDescent="0.2">
      <c r="B15" s="56">
        <v>1</v>
      </c>
      <c r="C15" s="59" t="s">
        <v>29</v>
      </c>
    </row>
    <row r="16" spans="2:11" ht="12" customHeight="1" x14ac:dyDescent="0.2">
      <c r="B16" s="56">
        <v>2</v>
      </c>
      <c r="C16" s="59" t="s">
        <v>30</v>
      </c>
    </row>
    <row r="17" spans="2:7" ht="12" customHeight="1" x14ac:dyDescent="0.2">
      <c r="B17" s="56">
        <v>3</v>
      </c>
      <c r="C17" s="59" t="s">
        <v>31</v>
      </c>
    </row>
    <row r="18" spans="2:7" ht="12" customHeight="1" x14ac:dyDescent="0.2">
      <c r="B18" s="56">
        <v>4</v>
      </c>
      <c r="C18" s="59" t="s">
        <v>262</v>
      </c>
    </row>
    <row r="19" spans="2:7" ht="12" customHeight="1" x14ac:dyDescent="0.2">
      <c r="B19" s="56">
        <v>5</v>
      </c>
      <c r="C19" s="59" t="s">
        <v>263</v>
      </c>
    </row>
    <row r="20" spans="2:7" ht="12" customHeight="1" x14ac:dyDescent="0.2">
      <c r="B20" s="56">
        <v>6</v>
      </c>
      <c r="C20" s="59" t="s">
        <v>32</v>
      </c>
    </row>
    <row r="21" spans="2:7" ht="5" customHeight="1" thickBot="1" x14ac:dyDescent="0.25">
      <c r="F21" s="56"/>
      <c r="G21" s="56"/>
    </row>
    <row r="22" spans="2:7" ht="16" customHeight="1" thickBot="1" x14ac:dyDescent="0.25">
      <c r="B22" s="67" t="s">
        <v>56</v>
      </c>
      <c r="C22" s="68"/>
    </row>
    <row r="23" spans="2:7" ht="6" customHeight="1" x14ac:dyDescent="0.2"/>
    <row r="24" spans="2:7" ht="13" customHeight="1" x14ac:dyDescent="0.2">
      <c r="B24" s="56">
        <v>1</v>
      </c>
      <c r="C24" s="59" t="s">
        <v>33</v>
      </c>
      <c r="D24" s="59"/>
      <c r="E24" s="59"/>
    </row>
    <row r="25" spans="2:7" ht="13" customHeight="1" x14ac:dyDescent="0.2">
      <c r="B25" s="56">
        <v>2</v>
      </c>
      <c r="C25" s="60" t="s">
        <v>34</v>
      </c>
      <c r="D25" s="59"/>
      <c r="E25" s="59"/>
    </row>
    <row r="26" spans="2:7" ht="13" customHeight="1" x14ac:dyDescent="0.2">
      <c r="B26" s="56">
        <v>3</v>
      </c>
      <c r="C26" s="61" t="s">
        <v>35</v>
      </c>
      <c r="D26" s="59"/>
      <c r="E26" s="59"/>
    </row>
    <row r="27" spans="2:7" ht="4" customHeight="1" x14ac:dyDescent="0.2">
      <c r="C27" s="59"/>
      <c r="D27" s="59"/>
      <c r="E27" s="59"/>
    </row>
    <row r="28" spans="2:7" ht="13" customHeight="1" x14ac:dyDescent="0.2">
      <c r="C28" s="61" t="s">
        <v>65</v>
      </c>
      <c r="D28" s="59"/>
      <c r="E28" s="59"/>
    </row>
    <row r="29" spans="2:7" ht="13" customHeight="1" x14ac:dyDescent="0.2">
      <c r="C29" s="62" t="s">
        <v>264</v>
      </c>
      <c r="D29" s="59"/>
      <c r="E29" s="59"/>
    </row>
    <row r="30" spans="2:7" ht="13" customHeight="1" x14ac:dyDescent="0.2">
      <c r="C30" s="61" t="s">
        <v>58</v>
      </c>
      <c r="D30" s="59"/>
      <c r="E30" s="59"/>
    </row>
    <row r="31" spans="2:7" ht="13" customHeight="1" x14ac:dyDescent="0.2">
      <c r="C31" s="62" t="s">
        <v>265</v>
      </c>
      <c r="D31" s="59"/>
      <c r="E31" s="59"/>
    </row>
    <row r="32" spans="2:7" ht="13" customHeight="1" x14ac:dyDescent="0.2">
      <c r="C32" s="61" t="s">
        <v>59</v>
      </c>
      <c r="D32" s="59"/>
      <c r="E32" s="59"/>
    </row>
    <row r="33" spans="2:5" ht="13" customHeight="1" x14ac:dyDescent="0.2">
      <c r="C33" s="62" t="s">
        <v>266</v>
      </c>
      <c r="D33" s="59"/>
      <c r="E33" s="59"/>
    </row>
    <row r="34" spans="2:5" ht="13" customHeight="1" x14ac:dyDescent="0.2">
      <c r="C34" s="61" t="s">
        <v>60</v>
      </c>
      <c r="D34" s="59"/>
      <c r="E34" s="59"/>
    </row>
    <row r="35" spans="2:5" ht="13" customHeight="1" x14ac:dyDescent="0.2">
      <c r="C35" s="62" t="s">
        <v>267</v>
      </c>
      <c r="D35" s="59"/>
      <c r="E35" s="59"/>
    </row>
    <row r="36" spans="2:5" ht="13" customHeight="1" x14ac:dyDescent="0.2">
      <c r="C36" s="62" t="s">
        <v>268</v>
      </c>
      <c r="D36" s="59"/>
      <c r="E36" s="59"/>
    </row>
    <row r="37" spans="2:5" ht="5" customHeight="1" thickBot="1" x14ac:dyDescent="0.25">
      <c r="C37" s="59"/>
    </row>
    <row r="38" spans="2:5" ht="16" customHeight="1" thickBot="1" x14ac:dyDescent="0.25">
      <c r="B38" s="65" t="s">
        <v>62</v>
      </c>
      <c r="C38" s="66"/>
    </row>
    <row r="39" spans="2:5" ht="5" customHeight="1" x14ac:dyDescent="0.2"/>
    <row r="40" spans="2:5" ht="13" customHeight="1" x14ac:dyDescent="0.2">
      <c r="C40" s="63" t="s">
        <v>36</v>
      </c>
      <c r="D40" s="63" t="s">
        <v>40</v>
      </c>
    </row>
    <row r="41" spans="2:5" ht="13" customHeight="1" x14ac:dyDescent="0.2">
      <c r="C41" s="64" t="s">
        <v>3</v>
      </c>
      <c r="D41" s="64" t="s">
        <v>13</v>
      </c>
    </row>
    <row r="42" spans="2:5" ht="13" customHeight="1" x14ac:dyDescent="0.2">
      <c r="C42" s="64" t="s">
        <v>8</v>
      </c>
      <c r="D42" s="64" t="s">
        <v>20</v>
      </c>
    </row>
    <row r="43" spans="2:5" ht="13" customHeight="1" x14ac:dyDescent="0.2">
      <c r="C43" s="64" t="s">
        <v>12</v>
      </c>
      <c r="D43" s="64" t="s">
        <v>21</v>
      </c>
    </row>
    <row r="44" spans="2:5" ht="13" customHeight="1" x14ac:dyDescent="0.2">
      <c r="C44" s="64" t="s">
        <v>37</v>
      </c>
      <c r="D44" s="64" t="s">
        <v>22</v>
      </c>
    </row>
    <row r="45" spans="2:5" ht="13" customHeight="1" x14ac:dyDescent="0.2">
      <c r="C45" s="64" t="s">
        <v>16</v>
      </c>
      <c r="D45" s="64" t="s">
        <v>14</v>
      </c>
    </row>
    <row r="46" spans="2:5" ht="13" customHeight="1" x14ac:dyDescent="0.2">
      <c r="C46" s="64" t="s">
        <v>38</v>
      </c>
      <c r="D46" s="63" t="s">
        <v>41</v>
      </c>
    </row>
    <row r="47" spans="2:5" ht="13" customHeight="1" x14ac:dyDescent="0.2">
      <c r="C47" s="64" t="s">
        <v>18</v>
      </c>
      <c r="D47" s="64" t="s">
        <v>42</v>
      </c>
    </row>
    <row r="48" spans="2:5" ht="13" customHeight="1" x14ac:dyDescent="0.2">
      <c r="C48" s="64" t="s">
        <v>39</v>
      </c>
      <c r="D48" s="64" t="s">
        <v>43</v>
      </c>
    </row>
    <row r="49" spans="2:4" ht="5" customHeight="1" x14ac:dyDescent="0.2">
      <c r="D49" s="64" t="s">
        <v>44</v>
      </c>
    </row>
    <row r="50" spans="2:4" ht="5" customHeight="1" thickBot="1" x14ac:dyDescent="0.25">
      <c r="C50" s="64"/>
    </row>
    <row r="51" spans="2:4" ht="16" customHeight="1" thickBot="1" x14ac:dyDescent="0.25">
      <c r="B51" s="67" t="s">
        <v>63</v>
      </c>
      <c r="C51" s="68"/>
    </row>
    <row r="52" spans="2:4" ht="13" customHeight="1" x14ac:dyDescent="0.2">
      <c r="B52" s="59">
        <v>1</v>
      </c>
      <c r="C52" s="59" t="s">
        <v>45</v>
      </c>
    </row>
    <row r="53" spans="2:4" ht="13" customHeight="1" x14ac:dyDescent="0.2">
      <c r="B53" s="59">
        <v>2</v>
      </c>
      <c r="C53" s="59" t="s">
        <v>269</v>
      </c>
    </row>
    <row r="54" spans="2:4" ht="13" customHeight="1" x14ac:dyDescent="0.2">
      <c r="B54" s="59">
        <v>3</v>
      </c>
      <c r="C54" s="59" t="s">
        <v>46</v>
      </c>
    </row>
    <row r="55" spans="2:4" ht="6" customHeight="1" thickBot="1" x14ac:dyDescent="0.25">
      <c r="B55" s="59"/>
    </row>
    <row r="56" spans="2:4" ht="16" customHeight="1" thickBot="1" x14ac:dyDescent="0.25">
      <c r="B56" s="67" t="s">
        <v>64</v>
      </c>
      <c r="C56" s="68"/>
    </row>
    <row r="57" spans="2:4" ht="12" customHeight="1" x14ac:dyDescent="0.2">
      <c r="B57" s="59">
        <v>1</v>
      </c>
      <c r="C57" s="59" t="s">
        <v>47</v>
      </c>
    </row>
    <row r="58" spans="2:4" ht="12" customHeight="1" x14ac:dyDescent="0.2">
      <c r="B58" s="59">
        <v>2</v>
      </c>
      <c r="C58" s="59" t="s">
        <v>48</v>
      </c>
    </row>
    <row r="59" spans="2:4" ht="12" customHeight="1" x14ac:dyDescent="0.2">
      <c r="B59" s="59">
        <v>3</v>
      </c>
      <c r="C59" s="59" t="s">
        <v>49</v>
      </c>
    </row>
    <row r="60" spans="2:4" ht="12" customHeight="1" x14ac:dyDescent="0.2">
      <c r="B60" s="59">
        <v>4</v>
      </c>
      <c r="C60" s="59" t="s">
        <v>50</v>
      </c>
    </row>
    <row r="61" spans="2:4" ht="12" customHeight="1" x14ac:dyDescent="0.2">
      <c r="B61" s="59">
        <v>5</v>
      </c>
      <c r="C61" s="59" t="s">
        <v>51</v>
      </c>
    </row>
    <row r="62" spans="2:4" ht="12" customHeight="1" x14ac:dyDescent="0.2">
      <c r="B62" s="59">
        <v>6</v>
      </c>
      <c r="C62" s="59" t="s">
        <v>71</v>
      </c>
    </row>
    <row r="63" spans="2:4" ht="12" customHeight="1" thickBot="1" x14ac:dyDescent="0.25">
      <c r="B63" s="59"/>
    </row>
    <row r="64" spans="2:4" ht="16" customHeight="1" thickBot="1" x14ac:dyDescent="0.25">
      <c r="B64" s="67" t="s">
        <v>274</v>
      </c>
      <c r="C64" s="68"/>
    </row>
    <row r="65" spans="2:3" ht="4" customHeight="1" x14ac:dyDescent="0.2">
      <c r="B65" s="59"/>
    </row>
    <row r="66" spans="2:3" ht="13" customHeight="1" x14ac:dyDescent="0.2">
      <c r="B66" s="59"/>
      <c r="C66" s="61" t="s">
        <v>52</v>
      </c>
    </row>
    <row r="67" spans="2:3" ht="13" customHeight="1" x14ac:dyDescent="0.2">
      <c r="B67" s="59"/>
      <c r="C67" s="59"/>
    </row>
    <row r="68" spans="2:3" ht="13" customHeight="1" x14ac:dyDescent="0.2">
      <c r="B68" s="59"/>
      <c r="C68" s="59" t="s">
        <v>270</v>
      </c>
    </row>
    <row r="69" spans="2:3" ht="13" customHeight="1" x14ac:dyDescent="0.2">
      <c r="B69" s="59"/>
      <c r="C69" s="59" t="s">
        <v>53</v>
      </c>
    </row>
    <row r="70" spans="2:3" ht="13" customHeight="1" x14ac:dyDescent="0.2">
      <c r="C70" s="59" t="s">
        <v>273</v>
      </c>
    </row>
    <row r="71" spans="2:3" ht="13" customHeight="1" x14ac:dyDescent="0.2">
      <c r="C71" s="59" t="s">
        <v>272</v>
      </c>
    </row>
    <row r="72" spans="2:3" ht="13" customHeight="1" x14ac:dyDescent="0.2">
      <c r="C72" s="59" t="s">
        <v>271</v>
      </c>
    </row>
  </sheetData>
  <mergeCells count="8">
    <mergeCell ref="B56:C56"/>
    <mergeCell ref="B64:C64"/>
    <mergeCell ref="B51:C51"/>
    <mergeCell ref="B13:C13"/>
    <mergeCell ref="B22:C22"/>
    <mergeCell ref="B2:K2"/>
    <mergeCell ref="F5:G5"/>
    <mergeCell ref="B38:C38"/>
  </mergeCells>
  <hyperlinks>
    <hyperlink ref="C25" r:id="rId1" xr:uid="{CF27EC6C-258B-E442-8BE0-390B34674A73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DD33-CB8F-E144-8A7D-B91E81D00F08}">
  <dimension ref="B2:Z140"/>
  <sheetViews>
    <sheetView showGridLines="0" tabSelected="1" zoomScale="90" workbookViewId="0">
      <pane ySplit="4" topLeftCell="A5" activePane="bottomLeft" state="frozen"/>
      <selection pane="bottomLeft" activeCell="L32" sqref="L31:L32"/>
    </sheetView>
  </sheetViews>
  <sheetFormatPr baseColWidth="10" defaultRowHeight="16" outlineLevelRow="2" x14ac:dyDescent="0.2"/>
  <cols>
    <col min="1" max="1" width="9.5" style="6" customWidth="1"/>
    <col min="2" max="2" width="27.5" style="6" hidden="1" customWidth="1"/>
    <col min="3" max="3" width="50" style="6" customWidth="1"/>
    <col min="4" max="5" width="16.5" style="6" bestFit="1" customWidth="1"/>
    <col min="6" max="6" width="19.33203125" style="6" bestFit="1" customWidth="1"/>
    <col min="7" max="8" width="18.1640625" style="6" bestFit="1" customWidth="1"/>
    <col min="9" max="10" width="18.6640625" style="6" bestFit="1" customWidth="1"/>
    <col min="11" max="15" width="17.6640625" style="6" bestFit="1" customWidth="1"/>
    <col min="16" max="16384" width="10.83203125" style="6"/>
  </cols>
  <sheetData>
    <row r="2" spans="2:26" x14ac:dyDescent="0.2">
      <c r="D2" s="52" t="s">
        <v>75</v>
      </c>
      <c r="E2" s="52"/>
      <c r="F2" s="52"/>
      <c r="G2" s="52"/>
      <c r="H2" s="52"/>
      <c r="I2" s="52"/>
      <c r="J2" s="52"/>
      <c r="K2" s="52" t="s">
        <v>74</v>
      </c>
      <c r="L2" s="52"/>
      <c r="M2" s="52"/>
      <c r="N2" s="52"/>
      <c r="O2" s="52"/>
    </row>
    <row r="3" spans="2:26" ht="21" x14ac:dyDescent="0.2">
      <c r="C3" s="75" t="s">
        <v>284</v>
      </c>
      <c r="D3" s="19" t="s">
        <v>9</v>
      </c>
      <c r="E3" s="19" t="s">
        <v>10</v>
      </c>
      <c r="F3" s="19" t="s">
        <v>11</v>
      </c>
      <c r="G3" s="19" t="s">
        <v>4</v>
      </c>
      <c r="H3" s="19" t="s">
        <v>5</v>
      </c>
      <c r="I3" s="19" t="s">
        <v>6</v>
      </c>
      <c r="J3" s="19" t="s">
        <v>7</v>
      </c>
      <c r="K3" s="22">
        <v>46387</v>
      </c>
      <c r="L3" s="22">
        <v>46752</v>
      </c>
      <c r="M3" s="22">
        <v>47118</v>
      </c>
      <c r="N3" s="22">
        <v>47483</v>
      </c>
      <c r="O3" s="22">
        <v>47848</v>
      </c>
    </row>
    <row r="4" spans="2:26" x14ac:dyDescent="0.2">
      <c r="C4" s="45" t="s">
        <v>163</v>
      </c>
      <c r="D4" s="30" t="str">
        <f>IF(E78=0, "ok", "X")</f>
        <v>X</v>
      </c>
      <c r="E4" s="30" t="str">
        <f t="shared" ref="E4:J4" si="0">IF(F78=0, "ok", "X")</f>
        <v>ok</v>
      </c>
      <c r="F4" s="30" t="str">
        <f t="shared" si="0"/>
        <v>ok</v>
      </c>
      <c r="G4" s="30" t="str">
        <f t="shared" si="0"/>
        <v>ok</v>
      </c>
      <c r="H4" s="30" t="str">
        <f t="shared" si="0"/>
        <v>ok</v>
      </c>
      <c r="I4" s="30" t="str">
        <f t="shared" si="0"/>
        <v>ok</v>
      </c>
      <c r="J4" s="30" t="str">
        <f t="shared" si="0"/>
        <v>ok</v>
      </c>
    </row>
    <row r="6" spans="2:26" ht="19" outlineLevel="1" x14ac:dyDescent="0.2">
      <c r="C6" s="53" t="s">
        <v>109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2:26" outlineLevel="1" x14ac:dyDescent="0.2">
      <c r="C7" s="5"/>
    </row>
    <row r="8" spans="2:26" ht="19" outlineLevel="1" x14ac:dyDescent="0.25">
      <c r="C8" s="5" t="s">
        <v>243</v>
      </c>
      <c r="D8" s="47"/>
      <c r="E8" s="47"/>
      <c r="F8" s="47"/>
      <c r="G8" s="47"/>
      <c r="H8" s="47"/>
      <c r="I8" s="47"/>
      <c r="J8" s="47"/>
      <c r="L8" s="47"/>
      <c r="M8" s="47"/>
      <c r="N8" s="47"/>
      <c r="O8" s="47"/>
    </row>
    <row r="9" spans="2:26" ht="19" outlineLevel="1" x14ac:dyDescent="0.25">
      <c r="C9" s="5"/>
      <c r="D9" s="47"/>
      <c r="E9" s="47"/>
      <c r="F9" s="47"/>
      <c r="G9" s="47"/>
      <c r="H9" s="47"/>
      <c r="I9" s="47"/>
      <c r="J9" s="47"/>
      <c r="M9" s="47"/>
      <c r="N9" s="47"/>
      <c r="O9" s="47"/>
    </row>
    <row r="10" spans="2:26" ht="19" outlineLevel="1" x14ac:dyDescent="0.25">
      <c r="B10" s="7"/>
      <c r="C10" s="5" t="s">
        <v>101</v>
      </c>
      <c r="D10" s="10"/>
      <c r="E10" s="10">
        <f>(E22-D22)/E22</f>
        <v>0.23603466565258291</v>
      </c>
      <c r="F10" s="10">
        <f>(F22-E22)/F22</f>
        <v>0.69678156231869282</v>
      </c>
      <c r="G10" s="10">
        <f>(G22-F22)/G22</f>
        <v>0.39850714232523093</v>
      </c>
      <c r="H10" s="10">
        <f t="shared" ref="H10:J10" si="1">(H22-G22)/H22</f>
        <v>0.20898840846196137</v>
      </c>
      <c r="I10" s="10">
        <f t="shared" si="1"/>
        <v>0.24562706633667722</v>
      </c>
      <c r="J10" s="10">
        <f t="shared" si="1"/>
        <v>0.20024925283379638</v>
      </c>
      <c r="M10" s="47" t="s">
        <v>244</v>
      </c>
      <c r="N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2:26" outlineLevel="1" x14ac:dyDescent="0.2">
      <c r="B11" s="5"/>
      <c r="C11" s="5" t="s">
        <v>102</v>
      </c>
      <c r="D11" s="10"/>
      <c r="E11" s="10">
        <f>ABS(D25/D22)</f>
        <v>0.58565889441970131</v>
      </c>
      <c r="F11" s="10">
        <f t="shared" ref="F11:J11" si="2">ABS(E25/E22)</f>
        <v>0.96363709144767129</v>
      </c>
      <c r="G11" s="10">
        <f t="shared" si="2"/>
        <v>1.8170020318542308</v>
      </c>
      <c r="H11" s="10">
        <f t="shared" si="2"/>
        <v>0.65318801917469382</v>
      </c>
      <c r="I11" s="10">
        <f t="shared" si="2"/>
        <v>0.5027939348859557</v>
      </c>
      <c r="J11" s="10">
        <f t="shared" si="2"/>
        <v>0.44326523997495892</v>
      </c>
      <c r="M11" s="13" t="s">
        <v>283</v>
      </c>
      <c r="N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2:26" outlineLevel="1" x14ac:dyDescent="0.2">
      <c r="B12" s="5"/>
      <c r="C12" s="5" t="s">
        <v>104</v>
      </c>
      <c r="D12" s="10"/>
      <c r="E12" s="10">
        <f>ABS(D27/D22)</f>
        <v>0.27094576892847788</v>
      </c>
      <c r="F12" s="10">
        <f t="shared" ref="F12:J12" si="3">ABS(E27/E22)</f>
        <v>0.27144486920321037</v>
      </c>
      <c r="G12" s="10">
        <f t="shared" si="3"/>
        <v>0.1702533627551652</v>
      </c>
      <c r="H12" s="10">
        <f t="shared" si="3"/>
        <v>0.16106187970989733</v>
      </c>
      <c r="I12" s="10">
        <f t="shared" si="3"/>
        <v>0.14022168989748257</v>
      </c>
      <c r="J12" s="10">
        <f t="shared" si="3"/>
        <v>0.17989289138796399</v>
      </c>
      <c r="K12" s="11"/>
      <c r="M12" s="13" t="s">
        <v>282</v>
      </c>
      <c r="N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outlineLevel="1" x14ac:dyDescent="0.2">
      <c r="B13" s="5"/>
      <c r="C13" s="5" t="s">
        <v>103</v>
      </c>
      <c r="D13" s="10"/>
      <c r="E13" s="10">
        <f>ABS(D26/D22)</f>
        <v>0</v>
      </c>
      <c r="F13" s="10">
        <f t="shared" ref="F13:J13" si="4">ABS(E26/E22)</f>
        <v>0</v>
      </c>
      <c r="G13" s="10">
        <f>ABS(F26/F22)</f>
        <v>0.1382352726981422</v>
      </c>
      <c r="H13" s="10">
        <f t="shared" si="4"/>
        <v>0.18756287772263278</v>
      </c>
      <c r="I13" s="10">
        <f t="shared" si="4"/>
        <v>0.17344629962439537</v>
      </c>
      <c r="J13" s="10">
        <f t="shared" si="4"/>
        <v>0.1125089144634092</v>
      </c>
      <c r="K13" s="11"/>
      <c r="L13" s="11"/>
      <c r="M13" s="13" t="s">
        <v>281</v>
      </c>
      <c r="N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outlineLevel="1" x14ac:dyDescent="0.2">
      <c r="B14" s="5"/>
      <c r="C14" s="5" t="s">
        <v>96</v>
      </c>
      <c r="D14" s="10"/>
      <c r="E14" s="10">
        <f>D34/D28</f>
        <v>4.0750414416177827E-2</v>
      </c>
      <c r="F14" s="10">
        <f>E34/E28</f>
        <v>7.7188843010027805E-2</v>
      </c>
      <c r="G14" s="10">
        <f>F34/F28</f>
        <v>1.5575523443232856E-2</v>
      </c>
      <c r="H14" s="10">
        <f>G34/G28</f>
        <v>4.3774800412474814E-2</v>
      </c>
      <c r="I14" s="10">
        <f>H34/H28</f>
        <v>5.3541114958918994E-2</v>
      </c>
      <c r="J14" s="10">
        <f>J34/I28</f>
        <v>9.6972765549219214E-2</v>
      </c>
      <c r="K14" s="11"/>
      <c r="L14" s="11"/>
      <c r="M14" s="1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outlineLevel="1" x14ac:dyDescent="0.2">
      <c r="B15" s="12"/>
      <c r="C15" s="5" t="s">
        <v>97</v>
      </c>
      <c r="D15" s="10"/>
      <c r="E15" s="10">
        <f>E39/E37</f>
        <v>1.2357195643482792E-3</v>
      </c>
      <c r="F15" s="10">
        <f t="shared" ref="F15:J15" si="5">F39/F37</f>
        <v>3.4919305565744588E-2</v>
      </c>
      <c r="G15" s="10">
        <f t="shared" si="5"/>
        <v>0.18905572911417917</v>
      </c>
      <c r="H15" s="10">
        <f t="shared" si="5"/>
        <v>0.10393532047535554</v>
      </c>
      <c r="I15" s="10">
        <f t="shared" si="5"/>
        <v>0.10396225289198428</v>
      </c>
      <c r="J15" s="10">
        <f t="shared" si="5"/>
        <v>0.12193923158508929</v>
      </c>
      <c r="K15" s="11"/>
      <c r="L15" s="11"/>
      <c r="M15" s="1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outlineLevel="1" x14ac:dyDescent="0.2">
      <c r="B16" s="5"/>
      <c r="C16" s="5" t="s">
        <v>98</v>
      </c>
      <c r="D16" s="5"/>
      <c r="E16" s="5"/>
      <c r="F16" s="5"/>
      <c r="G16" s="5"/>
      <c r="H16" s="5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outlineLevel="1" x14ac:dyDescent="0.2">
      <c r="B17" s="5"/>
      <c r="C17" s="5" t="s">
        <v>99</v>
      </c>
      <c r="D17" s="5"/>
      <c r="E17" s="5"/>
      <c r="F17" s="5"/>
      <c r="G17" s="5"/>
      <c r="H17" s="5"/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outlineLevel="1" x14ac:dyDescent="0.2">
      <c r="B18" s="5"/>
      <c r="C18" s="5" t="s">
        <v>100</v>
      </c>
      <c r="D18" s="5"/>
      <c r="E18" s="5"/>
      <c r="F18" s="5"/>
      <c r="G18" s="5"/>
      <c r="H18" s="5"/>
      <c r="I18" s="8"/>
      <c r="J18" s="8"/>
      <c r="K18" s="8"/>
      <c r="L18" s="8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20" spans="2:26" ht="18" customHeight="1" x14ac:dyDescent="0.2">
      <c r="C20" s="53" t="s">
        <v>73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 spans="2:26" outlineLevel="1" x14ac:dyDescent="0.2">
      <c r="C21" s="13" t="s">
        <v>168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2:26" outlineLevel="1" x14ac:dyDescent="0.2">
      <c r="B22" s="6" t="s">
        <v>72</v>
      </c>
      <c r="C22" s="40" t="s">
        <v>169</v>
      </c>
      <c r="D22" s="14">
        <f>IFERROR(GETPIVOTDATA("Value",Pivot!$B2,"Metric",$B22,"Date",D$3),0)</f>
        <v>190850000</v>
      </c>
      <c r="E22" s="14">
        <f>IFERROR(GETPIVOTDATA("Value",Pivot!$B2,"Metric",$B22,"Date",E$3),0)</f>
        <v>249815000</v>
      </c>
      <c r="F22" s="14">
        <f>IFERROR(GETPIVOTDATA("Value",Pivot!$B2,"Metric",$B22,"Date",F$3),0)</f>
        <v>823878000</v>
      </c>
      <c r="G22" s="14">
        <f>IFERROR(GETPIVOTDATA("Value",Pivot!$B2,"Metric",$B22,"Date",G$3),0)</f>
        <v>1369722000</v>
      </c>
      <c r="H22" s="14">
        <f>IFERROR(GETPIVOTDATA("Value",Pivot!$B2,"Metric",$B22,"Date",H$3),0)</f>
        <v>1731608000</v>
      </c>
      <c r="I22" s="14">
        <f>IFERROR(GETPIVOTDATA("Value",Pivot!$B2,"Metric",$B22,"Date",I$3),0)</f>
        <v>2295427000</v>
      </c>
      <c r="J22" s="14">
        <f>IFERROR(GETPIVOTDATA("Value",Pivot!$B2,"Metric",$B22,"Date",J$3),0)</f>
        <v>2870178000</v>
      </c>
      <c r="K22" s="15"/>
      <c r="L22" s="15"/>
      <c r="M22" s="15"/>
      <c r="N22" s="15"/>
      <c r="O22" s="15"/>
    </row>
    <row r="23" spans="2:26" outlineLevel="1" x14ac:dyDescent="0.2">
      <c r="C23" s="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2:26" outlineLevel="1" x14ac:dyDescent="0.2">
      <c r="C24" s="13" t="s">
        <v>79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2:26" outlineLevel="1" x14ac:dyDescent="0.2">
      <c r="B25" s="6" t="s">
        <v>15</v>
      </c>
      <c r="C25" s="40" t="s">
        <v>15</v>
      </c>
      <c r="D25" s="15">
        <f>-IFERROR(GETPIVOTDATA("Value",Pivot!$B$2,"Metric",$B25,"Date",D$3),0)</f>
        <v>-111773000</v>
      </c>
      <c r="E25" s="15">
        <f>-IFERROR(GETPIVOTDATA("Value",Pivot!$B$2,"Metric",$B25,"Date",E$3),0)</f>
        <v>-240731000</v>
      </c>
      <c r="F25" s="15">
        <f>-IFERROR(GETPIVOTDATA("Value",Pivot!$B$2,"Metric",$B25,"Date",F$3),0)</f>
        <v>-1496988000</v>
      </c>
      <c r="G25" s="15">
        <f>-IFERROR(GETPIVOTDATA("Value",Pivot!$B$2,"Metric",$B25,"Date",G$3),0)</f>
        <v>-894686000</v>
      </c>
      <c r="H25" s="15">
        <f>-IFERROR(GETPIVOTDATA("Value",Pivot!$B$2,"Metric",$B25,"Date",H$3),0)</f>
        <v>-870642000</v>
      </c>
      <c r="I25" s="15">
        <f>-IFERROR(GETPIVOTDATA("Value",Pivot!$B$2,"Metric",$B25,"Date",I$3),0)</f>
        <v>-1017483000</v>
      </c>
      <c r="J25" s="15">
        <f>-IFERROR(GETPIVOTDATA("Value",Pivot!$B$2,"Metric",$B25,"Date",J$3),0)</f>
        <v>-1307040000</v>
      </c>
      <c r="K25" s="15"/>
      <c r="L25" s="15"/>
      <c r="M25" s="15"/>
      <c r="N25" s="15"/>
      <c r="O25" s="15"/>
    </row>
    <row r="26" spans="2:26" outlineLevel="1" x14ac:dyDescent="0.2">
      <c r="B26" s="16" t="s">
        <v>17</v>
      </c>
      <c r="C26" s="40" t="s">
        <v>222</v>
      </c>
      <c r="D26" s="15">
        <f>-IFERROR(GETPIVOTDATA("Value",Pivot!$B$2,"Metric",$B26,"Date",D$3),0)</f>
        <v>0</v>
      </c>
      <c r="E26" s="15">
        <f>-IFERROR(GETPIVOTDATA("Value",Pivot!$B$2,"Metric",$B26,"Date",E$3),0)</f>
        <v>0</v>
      </c>
      <c r="F26" s="15">
        <f>-IFERROR(GETPIVOTDATA("Value",Pivot!$B$2,"Metric",$B26,"Date",F$3),0)</f>
        <v>-113889000</v>
      </c>
      <c r="G26" s="15">
        <f>-IFERROR(GETPIVOTDATA("Value",Pivot!$B$2,"Metric",$B26,"Date",G$3),0)</f>
        <v>-256909000</v>
      </c>
      <c r="H26" s="15">
        <f>-IFERROR(GETPIVOTDATA("Value",Pivot!$B$2,"Metric",$B26,"Date",H$3),0)</f>
        <v>-300341000</v>
      </c>
      <c r="I26" s="15">
        <f>-IFERROR(GETPIVOTDATA("Value",Pivot!$B$2,"Metric",$B26,"Date",I$3),0)</f>
        <v>-258256000</v>
      </c>
      <c r="J26" s="15">
        <f>-IFERROR(GETPIVOTDATA("Value",Pivot!$B$2,"Metric",$B26,"Date",J$3),0)</f>
        <v>-358952000</v>
      </c>
      <c r="K26" s="15"/>
      <c r="L26" s="15"/>
      <c r="M26" s="15"/>
      <c r="N26" s="15"/>
      <c r="O26" s="15"/>
    </row>
    <row r="27" spans="2:26" outlineLevel="1" x14ac:dyDescent="0.2">
      <c r="B27" s="16" t="s">
        <v>16</v>
      </c>
      <c r="C27" s="40" t="s">
        <v>76</v>
      </c>
      <c r="D27" s="15">
        <f>-IFERROR(GETPIVOTDATA("Value",Pivot!$B$2,"Metric",$B27,"Date",D$3),0)</f>
        <v>-51710000</v>
      </c>
      <c r="E27" s="15">
        <f>-IFERROR(GETPIVOTDATA("Value",Pivot!$B$2,"Metric",$B27,"Date",E$3),0)</f>
        <v>-67811000</v>
      </c>
      <c r="F27" s="15">
        <f>-IFERROR(GETPIVOTDATA("Value",Pivot!$B$2,"Metric",$B27,"Date",F$3),0)</f>
        <v>-140268000</v>
      </c>
      <c r="G27" s="15">
        <f>-IFERROR(GETPIVOTDATA("Value",Pivot!$B$2,"Metric",$B27,"Date",G$3),0)</f>
        <v>-220610000</v>
      </c>
      <c r="H27" s="15">
        <f>-IFERROR(GETPIVOTDATA("Value",Pivot!$B$2,"Metric",$B27,"Date",H$3),0)</f>
        <v>-242809000</v>
      </c>
      <c r="I27" s="15">
        <f>-IFERROR(GETPIVOTDATA("Value",Pivot!$B$2,"Metric",$B27,"Date",I$3),0)</f>
        <v>-412931000</v>
      </c>
      <c r="J27" s="15">
        <f>-IFERROR(GETPIVOTDATA("Value",Pivot!$B$2,"Metric",$B27,"Date",J$3),0)</f>
        <v>-747936000</v>
      </c>
      <c r="K27" s="15"/>
      <c r="L27" s="15"/>
      <c r="M27" s="15"/>
      <c r="N27" s="15"/>
      <c r="O27" s="15"/>
    </row>
    <row r="28" spans="2:26" outlineLevel="1" x14ac:dyDescent="0.2">
      <c r="C28" s="13" t="s">
        <v>135</v>
      </c>
      <c r="D28" s="28">
        <f>SUM(D25:D27)</f>
        <v>-163483000</v>
      </c>
      <c r="E28" s="28">
        <f>SUM(E25:E27)</f>
        <v>-308542000</v>
      </c>
      <c r="F28" s="28">
        <f t="shared" ref="F28:J28" si="6">SUM(F25:F27)</f>
        <v>-1751145000</v>
      </c>
      <c r="G28" s="28">
        <f t="shared" si="6"/>
        <v>-1372205000</v>
      </c>
      <c r="H28" s="28">
        <f t="shared" si="6"/>
        <v>-1413792000</v>
      </c>
      <c r="I28" s="28">
        <f t="shared" si="6"/>
        <v>-1688670000</v>
      </c>
      <c r="J28" s="28">
        <f t="shared" si="6"/>
        <v>-2413928000</v>
      </c>
      <c r="K28" s="15"/>
      <c r="L28" s="15"/>
      <c r="M28" s="15"/>
      <c r="N28" s="15"/>
      <c r="O28" s="15"/>
    </row>
    <row r="29" spans="2:26" outlineLevel="1" x14ac:dyDescent="0.2">
      <c r="C29" s="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26" outlineLevel="1" x14ac:dyDescent="0.2">
      <c r="C30" s="13" t="s">
        <v>136</v>
      </c>
      <c r="D30" s="15">
        <f>D22+D28</f>
        <v>27367000</v>
      </c>
      <c r="E30" s="15">
        <f>E22+E28</f>
        <v>-58727000</v>
      </c>
      <c r="F30" s="15">
        <f t="shared" ref="F30:J30" si="7">F22+F28</f>
        <v>-927267000</v>
      </c>
      <c r="G30" s="15">
        <f>G22+G28</f>
        <v>-2483000</v>
      </c>
      <c r="H30" s="15">
        <f t="shared" si="7"/>
        <v>317816000</v>
      </c>
      <c r="I30" s="15">
        <f t="shared" si="7"/>
        <v>606757000</v>
      </c>
      <c r="J30" s="15">
        <f t="shared" si="7"/>
        <v>456250000</v>
      </c>
      <c r="K30" s="15"/>
      <c r="L30" s="15"/>
      <c r="M30" s="15"/>
      <c r="N30" s="15"/>
      <c r="O30" s="15"/>
    </row>
    <row r="31" spans="2:26" outlineLevel="1" x14ac:dyDescent="0.2">
      <c r="C31" s="13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2:26" outlineLevel="1" x14ac:dyDescent="0.2">
      <c r="C32" s="13" t="s">
        <v>221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2:18" outlineLevel="1" x14ac:dyDescent="0.2">
      <c r="B33" s="16" t="s">
        <v>133</v>
      </c>
      <c r="C33" s="40" t="s">
        <v>137</v>
      </c>
      <c r="D33" s="15">
        <f>IFERROR(GETPIVOTDATA("Value",Pivot!$B$2,"Metric",$B33,"Date",D$3),0)</f>
        <v>0</v>
      </c>
      <c r="E33" s="15">
        <f>IFERROR(GETPIVOTDATA("Value",Pivot!$B$2,"Metric",$B33,"Date",E$3),0)</f>
        <v>0</v>
      </c>
      <c r="F33" s="15">
        <f>IFERROR(GETPIVOTDATA("Value",Pivot!$B$2,"Metric",$B33,"Date",F$3),0)</f>
        <v>387000</v>
      </c>
      <c r="G33" s="15">
        <f>IFERROR(GETPIVOTDATA("Value",Pivot!$B$2,"Metric",$B33,"Date",G$3),0)</f>
        <v>4357000</v>
      </c>
      <c r="H33" s="15">
        <f>IFERROR(GETPIVOTDATA("Value",Pivot!$B$2,"Metric",$B33,"Date",H$3),0)</f>
        <v>22176000</v>
      </c>
      <c r="I33" s="15">
        <f>IFERROR(GETPIVOTDATA("Value",Pivot!$B$2,"Metric",$B33,"Date",I$3),0)</f>
        <v>42172000</v>
      </c>
      <c r="J33" s="15">
        <f>IFERROR(GETPIVOTDATA("Value",Pivot!$B$2,"Metric",$B33,"Date",J$3),0)</f>
        <v>45184000</v>
      </c>
      <c r="K33" s="15"/>
      <c r="L33" s="15"/>
      <c r="M33" s="15"/>
      <c r="N33" s="15"/>
      <c r="O33" s="15"/>
    </row>
    <row r="34" spans="2:18" outlineLevel="1" x14ac:dyDescent="0.2">
      <c r="B34" s="16" t="s">
        <v>18</v>
      </c>
      <c r="C34" s="40" t="s">
        <v>77</v>
      </c>
      <c r="D34" s="15">
        <f>-IFERROR(GETPIVOTDATA("Value",Pivot!$B$2,"Metric",$B34,"Date",D$3),0)</f>
        <v>-6662000</v>
      </c>
      <c r="E34" s="15">
        <f>-IFERROR(GETPIVOTDATA("Value",Pivot!$B$2,"Metric",$B34,"Date",E$3),0)</f>
        <v>-23816000</v>
      </c>
      <c r="F34" s="15">
        <f>-IFERROR(GETPIVOTDATA("Value",Pivot!$B$2,"Metric",$B34,"Date",F$3),0)</f>
        <v>-27275000</v>
      </c>
      <c r="G34" s="15">
        <v>-60068000</v>
      </c>
      <c r="H34" s="15">
        <f>-IFERROR(GETPIVOTDATA("Value",Pivot!$B$2,"Metric",$B34,"Date",H$3),0)</f>
        <v>-75696000</v>
      </c>
      <c r="I34" s="15">
        <v>-121894000</v>
      </c>
      <c r="J34" s="15">
        <v>-163755000</v>
      </c>
      <c r="K34" s="44" t="s">
        <v>171</v>
      </c>
      <c r="L34" s="15"/>
      <c r="M34" s="15"/>
      <c r="N34" s="15"/>
      <c r="O34" s="20" t="s">
        <v>172</v>
      </c>
    </row>
    <row r="35" spans="2:18" outlineLevel="1" x14ac:dyDescent="0.2">
      <c r="B35" s="16" t="s">
        <v>134</v>
      </c>
      <c r="C35" s="40" t="s">
        <v>138</v>
      </c>
      <c r="D35" s="15">
        <f>IFERROR(GETPIVOTDATA("Value",Pivot!$B$2,"Metric",$B35,"Date",D$3),0)</f>
        <v>0</v>
      </c>
      <c r="E35" s="15">
        <f>IFERROR(GETPIVOTDATA("Value",Pivot!$B$2,"Metric",$B35,"Date",E$3),0)</f>
        <v>0</v>
      </c>
      <c r="F35" s="15">
        <f>IFERROR(GETPIVOTDATA("Value",Pivot!$B$2,"Metric",$B35,"Date",F$3),0)</f>
        <v>-3526000</v>
      </c>
      <c r="G35" s="15">
        <f>IFERROR(GETPIVOTDATA("Value",Pivot!$B$2,"Metric",$B35,"Date",G$3),0)</f>
        <v>-132000</v>
      </c>
      <c r="H35" s="15">
        <f>IFERROR(GETPIVOTDATA("Value",Pivot!$B$2,"Metric",$B35,"Date",H$3),0)</f>
        <v>4203000</v>
      </c>
      <c r="I35" s="15">
        <f>IFERROR(GETPIVOTDATA("Value",Pivot!$B$2,"Metric",$B35,"Date",I$3),0)</f>
        <v>1713000</v>
      </c>
      <c r="J35" s="15">
        <f>IFERROR(GETPIVOTDATA("Value",Pivot!$B$2,"Metric",$B35,"Date",J$3),0)</f>
        <v>-7105000</v>
      </c>
      <c r="K35" s="15"/>
      <c r="L35" s="15"/>
      <c r="M35" s="15"/>
      <c r="N35" s="15"/>
      <c r="O35" s="15"/>
    </row>
    <row r="36" spans="2:18" outlineLevel="1" x14ac:dyDescent="0.2">
      <c r="B36" s="29" t="s">
        <v>142</v>
      </c>
      <c r="C36" s="41" t="s">
        <v>139</v>
      </c>
      <c r="D36" s="21">
        <v>0</v>
      </c>
      <c r="E36" s="21">
        <v>0</v>
      </c>
      <c r="F36" s="21">
        <v>-909796000</v>
      </c>
      <c r="G36" s="21">
        <v>8711000</v>
      </c>
      <c r="H36" s="21">
        <v>-22115000</v>
      </c>
      <c r="I36" s="21">
        <v>-59520000</v>
      </c>
      <c r="J36" s="21">
        <v>17337000</v>
      </c>
      <c r="K36" s="15"/>
      <c r="L36" s="15"/>
      <c r="M36" s="15"/>
      <c r="N36" s="15"/>
      <c r="O36" s="15"/>
    </row>
    <row r="37" spans="2:18" outlineLevel="1" x14ac:dyDescent="0.2">
      <c r="C37" s="13" t="s">
        <v>165</v>
      </c>
      <c r="D37" s="20">
        <f>D30+D33+D34+D35+D36</f>
        <v>20705000</v>
      </c>
      <c r="E37" s="20">
        <f>E30+E33+E34+E35+E36</f>
        <v>-82543000</v>
      </c>
      <c r="F37" s="20">
        <f>F30+F33+F34+F35+F36</f>
        <v>-1867477000</v>
      </c>
      <c r="G37" s="20">
        <f>G30+G33+G34+G35+G36</f>
        <v>-49615000</v>
      </c>
      <c r="H37" s="20">
        <f>H30+H33+H34+H35+H36</f>
        <v>246384000</v>
      </c>
      <c r="I37" s="20">
        <f t="shared" ref="I37" si="8">I30+I33+I34+I35+I36</f>
        <v>469228000</v>
      </c>
      <c r="J37" s="20">
        <f>J30+J33+J34+J35+J36</f>
        <v>347911000</v>
      </c>
      <c r="K37" s="15"/>
      <c r="L37" s="15">
        <f>F37+1867477000</f>
        <v>0</v>
      </c>
      <c r="M37" s="15"/>
      <c r="N37" s="15"/>
      <c r="O37" s="15"/>
    </row>
    <row r="38" spans="2:18" outlineLevel="1" x14ac:dyDescent="0.2">
      <c r="C38" s="13"/>
      <c r="D38" s="20"/>
      <c r="E38" s="20"/>
      <c r="F38" s="20"/>
      <c r="G38" s="20"/>
      <c r="H38" s="20"/>
      <c r="I38" s="20"/>
      <c r="J38" s="20"/>
      <c r="K38" s="15"/>
      <c r="L38" s="15" t="s">
        <v>170</v>
      </c>
      <c r="M38" s="15"/>
      <c r="N38" s="15"/>
      <c r="O38" s="15"/>
    </row>
    <row r="39" spans="2:18" outlineLevel="1" x14ac:dyDescent="0.2">
      <c r="B39" s="16" t="s">
        <v>19</v>
      </c>
      <c r="C39" s="40" t="s">
        <v>166</v>
      </c>
      <c r="D39" s="15">
        <f>IFERROR(GETPIVOTDATA("Value",Pivot!$B$2,"Metric",$B39,"Date",D$3),0)</f>
        <v>240000</v>
      </c>
      <c r="E39" s="15">
        <f>IFERROR(GETPIVOTDATA("Value",Pivot!$B$2,"Metric",$B39,"Date",E$3),0)</f>
        <v>-102000</v>
      </c>
      <c r="F39" s="15">
        <f>IFERROR(GETPIVOTDATA("Value",Pivot!$B$2,"Metric",$B39,"Date",F$3),0)</f>
        <v>-65211000</v>
      </c>
      <c r="G39" s="15">
        <f>IFERROR(GETPIVOTDATA("Value",Pivot!$B$2,"Metric",$B39,"Date",G$3),0)</f>
        <v>-9380000</v>
      </c>
      <c r="H39" s="15">
        <f>IFERROR(GETPIVOTDATA("Value",Pivot!$B$2,"Metric",$B39,"Date",H$3),0)</f>
        <v>25608000</v>
      </c>
      <c r="I39" s="15">
        <f>IFERROR(GETPIVOTDATA("Value",Pivot!$B$2,"Metric",$B39,"Date",I$3),0)</f>
        <v>48782000</v>
      </c>
      <c r="J39" s="15">
        <f>IFERROR(GETPIVOTDATA("Value",Pivot!$B$2,"Metric",$B39,"Date",J$3),0)</f>
        <v>42424000</v>
      </c>
      <c r="K39" s="15"/>
      <c r="L39" s="15"/>
      <c r="M39" s="15"/>
      <c r="N39" s="15"/>
      <c r="O39" s="15"/>
    </row>
    <row r="40" spans="2:18" outlineLevel="1" x14ac:dyDescent="0.2">
      <c r="B40" s="16"/>
      <c r="C40" s="13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2:18" outlineLevel="1" x14ac:dyDescent="0.2">
      <c r="B41" s="16" t="s">
        <v>140</v>
      </c>
      <c r="C41" s="40" t="s">
        <v>131</v>
      </c>
      <c r="D41" s="15">
        <f>IFERROR(GETPIVOTDATA("Value",Pivot!$B$2,"Metric",$B41,"Date",D$3),0)</f>
        <v>20465000</v>
      </c>
      <c r="E41" s="15">
        <f>IFERROR(GETPIVOTDATA("Value",Pivot!$B$2,"Metric",$B41,"Date",E$3),0)</f>
        <v>-82441000</v>
      </c>
      <c r="F41" s="15">
        <f>IFERROR(GETPIVOTDATA("Value",Pivot!$B$2,"Metric",$B41,"Date",F$3),0)</f>
        <v>-1802266000</v>
      </c>
      <c r="G41" s="15">
        <f>IFERROR(GETPIVOTDATA("Value",Pivot!$B$2,"Metric",$B41,"Date",G$3),0)</f>
        <v>-40235000</v>
      </c>
      <c r="H41" s="15">
        <f>IFERROR(GETPIVOTDATA("Value",Pivot!$B$2,"Metric",$B41,"Date",H$3),0)</f>
        <v>220776000</v>
      </c>
      <c r="I41" s="15">
        <f>IFERROR(GETPIVOTDATA("Value",Pivot!$B$2,"Metric",$B41,"Date",I$3),0)</f>
        <v>420446000</v>
      </c>
      <c r="J41" s="15">
        <f>IFERROR(GETPIVOTDATA("Value",Pivot!$B$2,"Metric",$B41,"Date",J$3),0)</f>
        <v>305487000</v>
      </c>
      <c r="K41" s="15"/>
      <c r="L41" s="15"/>
      <c r="M41" s="15"/>
      <c r="N41" s="15"/>
      <c r="O41" s="15"/>
    </row>
    <row r="42" spans="2:18" outlineLevel="1" x14ac:dyDescent="0.2">
      <c r="B42" s="29" t="s">
        <v>142</v>
      </c>
      <c r="C42" s="41" t="s">
        <v>167</v>
      </c>
      <c r="D42" s="21">
        <f>IFERROR(GETPIVOTDATA("Value",Pivot!$B$2,"Metric",$B42,"Date",D$3),0)</f>
        <v>0</v>
      </c>
      <c r="E42" s="21">
        <v>4610000</v>
      </c>
      <c r="F42" s="21">
        <v>1426095000</v>
      </c>
      <c r="G42" s="21">
        <v>30946000</v>
      </c>
      <c r="H42" s="21">
        <v>-166433000</v>
      </c>
      <c r="I42" s="21">
        <v>-310862000</v>
      </c>
      <c r="J42" s="21">
        <v>-226654000</v>
      </c>
      <c r="K42" s="15"/>
      <c r="L42" s="15"/>
      <c r="M42" s="15"/>
      <c r="N42" s="15"/>
      <c r="O42" s="15"/>
    </row>
    <row r="43" spans="2:18" outlineLevel="1" x14ac:dyDescent="0.2">
      <c r="B43" s="16" t="s">
        <v>8</v>
      </c>
      <c r="C43" s="13" t="s">
        <v>141</v>
      </c>
      <c r="D43" s="27">
        <f>IFERROR(GETPIVOTDATA("Value",Pivot!$B$2,"Metric",$B43,"Date",D$3),0)</f>
        <v>22958000</v>
      </c>
      <c r="E43" s="27">
        <f t="shared" ref="E43:J43" si="9">E41+E42</f>
        <v>-77831000</v>
      </c>
      <c r="F43" s="27">
        <f t="shared" si="9"/>
        <v>-376171000</v>
      </c>
      <c r="G43" s="27">
        <f t="shared" si="9"/>
        <v>-9289000</v>
      </c>
      <c r="H43" s="27">
        <f t="shared" si="9"/>
        <v>54343000</v>
      </c>
      <c r="I43" s="27">
        <f t="shared" si="9"/>
        <v>109584000</v>
      </c>
      <c r="J43" s="27">
        <f t="shared" si="9"/>
        <v>78833000</v>
      </c>
      <c r="K43" s="15"/>
      <c r="L43" s="15"/>
      <c r="M43" s="15"/>
      <c r="N43" s="15"/>
      <c r="O43" s="15"/>
    </row>
    <row r="44" spans="2:18" outlineLevel="1" x14ac:dyDescent="0.2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2:18" ht="19" outlineLevel="1" x14ac:dyDescent="0.25">
      <c r="C45" s="13" t="s">
        <v>78</v>
      </c>
      <c r="D45" s="17">
        <f>D30+D26</f>
        <v>27367000</v>
      </c>
      <c r="E45" s="17">
        <f>E30+E26</f>
        <v>-58727000</v>
      </c>
      <c r="F45" s="17">
        <f>F30-F26</f>
        <v>-813378000</v>
      </c>
      <c r="G45" s="17">
        <f>G30-G26</f>
        <v>254426000</v>
      </c>
      <c r="H45" s="17">
        <f t="shared" ref="H45:J45" si="10">H30-H26</f>
        <v>618157000</v>
      </c>
      <c r="I45" s="17">
        <f t="shared" si="10"/>
        <v>865013000</v>
      </c>
      <c r="J45" s="17">
        <f t="shared" si="10"/>
        <v>815202000</v>
      </c>
      <c r="K45" s="14"/>
      <c r="L45" s="31"/>
      <c r="M45" s="32"/>
      <c r="N45" s="32"/>
      <c r="O45" s="31"/>
      <c r="P45" s="32"/>
      <c r="Q45" s="32"/>
      <c r="R45" s="33"/>
    </row>
    <row r="47" spans="2:18" ht="19" x14ac:dyDescent="0.25">
      <c r="C47" s="51" t="s">
        <v>81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</row>
    <row r="48" spans="2:18" outlineLevel="1" x14ac:dyDescent="0.2">
      <c r="C48" s="7" t="s">
        <v>181</v>
      </c>
      <c r="D48" s="14"/>
      <c r="E48" s="14"/>
      <c r="F48" s="14"/>
      <c r="G48" s="14"/>
      <c r="H48" s="14"/>
      <c r="I48" s="14"/>
      <c r="J48" s="14"/>
    </row>
    <row r="49" spans="2:11" outlineLevel="1" x14ac:dyDescent="0.2">
      <c r="B49" s="6" t="s">
        <v>24</v>
      </c>
      <c r="C49" s="40" t="s">
        <v>24</v>
      </c>
      <c r="D49" s="14">
        <f>IFERROR(GETPIVOTDATA("Value",Pivot!$B$2,"Metric", $B49,"Date",D$3),0)</f>
        <v>0</v>
      </c>
      <c r="E49" s="14">
        <f>IFERROR(GETPIVOTDATA("Value",Pivot!$B$2,"Metric", $B49,"Date",E$3),0)</f>
        <v>11630000</v>
      </c>
      <c r="F49" s="14">
        <f>IFERROR(GETPIVOTDATA("Value",Pivot!$B$2,"Metric", $B49,"Date",F$3),0)</f>
        <v>42567000</v>
      </c>
      <c r="G49" s="14">
        <f>IFERROR(GETPIVOTDATA("Value",Pivot!$B$2,"Metric", $B49,"Date",G$3),0)</f>
        <v>68079000</v>
      </c>
      <c r="H49" s="14">
        <f>IFERROR(GETPIVOTDATA("Value",Pivot!$B$2,"Metric", $B49,"Date",H$3),0)</f>
        <v>104160000</v>
      </c>
      <c r="I49" s="14">
        <f>IFERROR(GETPIVOTDATA("Value",Pivot!$B$2,"Metric", $B49,"Date",I$3),0)</f>
        <v>152089000</v>
      </c>
      <c r="J49" s="14">
        <f>IFERROR(GETPIVOTDATA("Value",Pivot!$B$2,"Metric", $B49,"Date",J$3),0)</f>
        <v>194512000</v>
      </c>
    </row>
    <row r="50" spans="2:11" outlineLevel="1" x14ac:dyDescent="0.2">
      <c r="B50" s="48" t="s">
        <v>143</v>
      </c>
      <c r="C50" s="40" t="s">
        <v>144</v>
      </c>
      <c r="D50" s="15">
        <f>IFERROR(GETPIVOTDATA("Value",Pivot!$B$2,"Metric", $B50,"Date",D$3),0)</f>
        <v>0</v>
      </c>
      <c r="E50" s="15">
        <f>IFERROR(GETPIVOTDATA("Value",Pivot!$B$2,"Metric", $B50,"Date",E$3),0)</f>
        <v>92698000</v>
      </c>
      <c r="F50" s="15">
        <f>IFERROR(GETPIVOTDATA("Value",Pivot!$B$2,"Metric", $B50,"Date",F$3),0)</f>
        <v>224576000</v>
      </c>
      <c r="G50" s="15">
        <f>IFERROR(GETPIVOTDATA("Value",Pivot!$B$2,"Metric", $B50,"Date",G$3),0)</f>
        <v>357921000</v>
      </c>
      <c r="H50" s="15">
        <v>367136000</v>
      </c>
      <c r="I50" s="15">
        <v>548730000</v>
      </c>
      <c r="J50" s="42">
        <v>694056000</v>
      </c>
    </row>
    <row r="51" spans="2:11" outlineLevel="1" x14ac:dyDescent="0.2">
      <c r="B51" s="5" t="s">
        <v>145</v>
      </c>
      <c r="C51" s="40" t="s">
        <v>145</v>
      </c>
      <c r="D51" s="15">
        <f>IFERROR(GETPIVOTDATA("Value",Pivot!$B$2,"Metric", $B51,"Date",D$3),0)</f>
        <v>0</v>
      </c>
      <c r="E51" s="15">
        <f>IFERROR(GETPIVOTDATA("Value",Pivot!$B$2,"Metric", $B51,"Date",E$3),0)</f>
        <v>2678000</v>
      </c>
      <c r="F51" s="15">
        <f>IFERROR(GETPIVOTDATA("Value",Pivot!$B$2,"Metric", $B51,"Date",F$3),0)</f>
        <v>12143000</v>
      </c>
      <c r="G51" s="15">
        <f>IFERROR(GETPIVOTDATA("Value",Pivot!$B$2,"Metric", $B51,"Date",G$3),0)</f>
        <v>317231000</v>
      </c>
      <c r="H51" s="15">
        <f>IFERROR(GETPIVOTDATA("Value",Pivot!$B$2,"Metric", $B51,"Date",H$3),0)</f>
        <v>344265000</v>
      </c>
      <c r="I51" s="15">
        <f>IFERROR(GETPIVOTDATA("Value",Pivot!$B$2,"Metric", $B51,"Date",I$3),0)</f>
        <v>486945000</v>
      </c>
      <c r="J51" s="15">
        <f>IFERROR(GETPIVOTDATA("Value",Pivot!$B$2,"Metric", $B51,"Date",J$3),0)</f>
        <v>484389000</v>
      </c>
    </row>
    <row r="52" spans="2:11" outlineLevel="1" x14ac:dyDescent="0.2">
      <c r="B52" s="16" t="s">
        <v>176</v>
      </c>
      <c r="C52" s="40" t="s">
        <v>178</v>
      </c>
      <c r="D52" s="15">
        <f>IFERROR(GETPIVOTDATA("Value",Pivot!$B$2,"Metric", $B52,"Date",D$3),0)</f>
        <v>0</v>
      </c>
      <c r="E52" s="15">
        <f>IFERROR(GETPIVOTDATA("Value",Pivot!$B$2,"Metric", $B52,"Date",E$3),0)</f>
        <v>0</v>
      </c>
      <c r="F52" s="15">
        <f>IFERROR(GETPIVOTDATA("Value",Pivot!$B$2,"Metric", $B52,"Date",F$3),0)</f>
        <v>86033000</v>
      </c>
      <c r="G52" s="15">
        <f>IFERROR(GETPIVOTDATA("Value",Pivot!$B$2,"Metric", $B52,"Date",G$3),0)</f>
        <v>224411000</v>
      </c>
      <c r="H52" s="15">
        <f>IFERROR(GETPIVOTDATA("Value",Pivot!$B$2,"Metric", $B52,"Date",H$3),0)</f>
        <v>281669000</v>
      </c>
      <c r="I52" s="15">
        <f>IFERROR(GETPIVOTDATA("Value",Pivot!$B$2,"Metric", $B52,"Date",I$3),0)</f>
        <v>325090000</v>
      </c>
      <c r="J52" s="15">
        <f>IFERROR(GETPIVOTDATA("Value",Pivot!$B$2,"Metric", $B52,"Date",J$3),0)</f>
        <v>456204000</v>
      </c>
    </row>
    <row r="53" spans="2:11" outlineLevel="1" x14ac:dyDescent="0.2">
      <c r="B53" s="6" t="s">
        <v>148</v>
      </c>
      <c r="C53" s="40" t="s">
        <v>149</v>
      </c>
      <c r="D53" s="15">
        <f>IFERROR(GETPIVOTDATA("Value",Pivot!$B$2,"Metric", $B53,"Date",D$3),0)</f>
        <v>0</v>
      </c>
      <c r="E53" s="15">
        <f>IFERROR(GETPIVOTDATA("Value",Pivot!$B$2,"Metric", $B53,"Date",E$3),0)</f>
        <v>0</v>
      </c>
      <c r="F53" s="15">
        <f>IFERROR(GETPIVOTDATA("Value",Pivot!$B$2,"Metric", $B53,"Date",F$3),0)</f>
        <v>2611411000</v>
      </c>
      <c r="G53" s="15">
        <f>IFERROR(GETPIVOTDATA("Value",Pivot!$B$2,"Metric", $B53,"Date",G$3),0)</f>
        <v>2405422000</v>
      </c>
      <c r="H53" s="15">
        <f>IFERROR(GETPIVOTDATA("Value",Pivot!$B$2,"Metric", $B53,"Date",H$3),0)</f>
        <v>2110008000</v>
      </c>
      <c r="I53" s="15">
        <f>IFERROR(GETPIVOTDATA("Value",Pivot!$B$2,"Metric", $B53,"Date",I$3),0)</f>
        <v>2902752000</v>
      </c>
      <c r="J53" s="15">
        <f>IFERROR(GETPIVOTDATA("Value",Pivot!$B$2,"Metric", $B53,"Date",J$3),0)</f>
        <v>2888800000</v>
      </c>
    </row>
    <row r="54" spans="2:11" outlineLevel="1" x14ac:dyDescent="0.2">
      <c r="B54" s="16" t="s">
        <v>127</v>
      </c>
      <c r="C54" s="40" t="s">
        <v>129</v>
      </c>
      <c r="D54" s="15">
        <f>IFERROR(GETPIVOTDATA("Value",Pivot!$B$2,"Metric", $B54,"Date",D$3),0)</f>
        <v>0</v>
      </c>
      <c r="E54" s="15">
        <f>IFERROR(GETPIVOTDATA("Value",Pivot!$B$2,"Metric", $B54,"Date",E$3),0)</f>
        <v>3356000</v>
      </c>
      <c r="F54" s="15">
        <f>IFERROR(GETPIVOTDATA("Value",Pivot!$B$2,"Metric", $B54,"Date",F$3),0)</f>
        <v>7951000</v>
      </c>
      <c r="G54" s="15">
        <f>IFERROR(GETPIVOTDATA("Value",Pivot!$B$2,"Metric", $B54,"Date",G$3),0)</f>
        <v>71190000</v>
      </c>
      <c r="H54" s="15">
        <f>IFERROR(GETPIVOTDATA("Value",Pivot!$B$2,"Metric", $B54,"Date",H$3),0)</f>
        <v>134893000</v>
      </c>
      <c r="I54" s="15">
        <f>IFERROR(GETPIVOTDATA("Value",Pivot!$B$2,"Metric", $B54,"Date",I$3),0)</f>
        <v>187749000</v>
      </c>
      <c r="J54" s="15">
        <f>IFERROR(GETPIVOTDATA("Value",Pivot!$B$2,"Metric", $B54,"Date",J$3),0)</f>
        <v>218941000</v>
      </c>
    </row>
    <row r="55" spans="2:11" outlineLevel="1" x14ac:dyDescent="0.2">
      <c r="B55" s="6" t="s">
        <v>146</v>
      </c>
      <c r="C55" s="40" t="s">
        <v>146</v>
      </c>
      <c r="D55" s="15">
        <f>IFERROR(GETPIVOTDATA("Value",Pivot!$B$2,"Metric", $B55,"Date",D$3),0)</f>
        <v>0</v>
      </c>
      <c r="E55" s="15">
        <f>IFERROR(GETPIVOTDATA("Value",Pivot!$B$2,"Metric", $B55,"Date",E$3),0)</f>
        <v>0</v>
      </c>
      <c r="F55" s="15">
        <f>IFERROR(GETPIVOTDATA("Value",Pivot!$B$2,"Metric", $B55,"Date",F$3),0)</f>
        <v>4132245000</v>
      </c>
      <c r="G55" s="15">
        <f>IFERROR(GETPIVOTDATA("Value",Pivot!$B$2,"Metric", $B55,"Date",G$3),0)</f>
        <v>4205159000</v>
      </c>
      <c r="H55" s="15">
        <f>IFERROR(GETPIVOTDATA("Value",Pivot!$B$2,"Metric", $B55,"Date",H$3),0)</f>
        <v>4224153000</v>
      </c>
      <c r="I55" s="15">
        <f>IFERROR(GETPIVOTDATA("Value",Pivot!$B$2,"Metric", $B55,"Date",I$3),0)</f>
        <v>4699465000</v>
      </c>
      <c r="J55" s="15">
        <f>IFERROR(GETPIVOTDATA("Value",Pivot!$B$2,"Metric", $B55,"Date",J$3),0)</f>
        <v>5624469000</v>
      </c>
    </row>
    <row r="56" spans="2:11" outlineLevel="1" x14ac:dyDescent="0.2">
      <c r="B56" s="6" t="s">
        <v>147</v>
      </c>
      <c r="C56" s="40" t="s">
        <v>150</v>
      </c>
      <c r="D56" s="15">
        <f>IFERROR(GETPIVOTDATA("Value",Pivot!$B$2,"Metric", $B56,"Date",D$3),0)</f>
        <v>0</v>
      </c>
      <c r="E56" s="15">
        <f>IFERROR(GETPIVOTDATA("Value",Pivot!$B$2,"Metric", $B56,"Date",E$3),0)</f>
        <v>16469000</v>
      </c>
      <c r="F56" s="15">
        <f>IFERROR(GETPIVOTDATA("Value",Pivot!$B$2,"Metric", $B56,"Date",F$3),0)</f>
        <v>38620000</v>
      </c>
      <c r="G56" s="15">
        <f>IFERROR(GETPIVOTDATA("Value",Pivot!$B$2,"Metric", $B56,"Date",G$3),0)</f>
        <v>99679000</v>
      </c>
      <c r="H56" s="15">
        <f>IFERROR(GETPIVOTDATA("Value",Pivot!$B$2,"Metric", $B56,"Date",H$3),0)</f>
        <v>187455000</v>
      </c>
      <c r="I56" s="15">
        <f>IFERROR(GETPIVOTDATA("Value",Pivot!$B$2,"Metric", $B56,"Date",I$3),0)</f>
        <v>258748000</v>
      </c>
      <c r="J56" s="15">
        <f>IFERROR(GETPIVOTDATA("Value",Pivot!$B$2,"Metric", $B56,"Date",J$3),0)</f>
        <v>382519000</v>
      </c>
    </row>
    <row r="57" spans="2:11" outlineLevel="1" x14ac:dyDescent="0.2">
      <c r="C57" s="40" t="s">
        <v>151</v>
      </c>
      <c r="D57" s="21">
        <f>D58-SUM(D49:D56)</f>
        <v>0</v>
      </c>
      <c r="E57" s="21">
        <f t="shared" ref="E57:J57" si="11">E58-SUM(E49:E56)</f>
        <v>149485182</v>
      </c>
      <c r="F57" s="21">
        <f t="shared" si="11"/>
        <v>1110852000</v>
      </c>
      <c r="G57" s="21">
        <f>G58-SUM(G49:G56)</f>
        <v>1143983000</v>
      </c>
      <c r="H57" s="21">
        <f t="shared" si="11"/>
        <v>1063882000</v>
      </c>
      <c r="I57" s="21">
        <f t="shared" si="11"/>
        <v>1430902000</v>
      </c>
      <c r="J57" s="21">
        <f t="shared" si="11"/>
        <v>1523794000</v>
      </c>
    </row>
    <row r="58" spans="2:11" outlineLevel="1" x14ac:dyDescent="0.2">
      <c r="B58" s="6" t="s">
        <v>13</v>
      </c>
      <c r="C58" s="38" t="s">
        <v>82</v>
      </c>
      <c r="D58" s="17">
        <f>IFERROR(GETPIVOTDATA("Value",Pivot!$B$2,"Metric", $B58,"Date",D$3),0)</f>
        <v>0</v>
      </c>
      <c r="E58" s="17">
        <f>IFERROR(GETPIVOTDATA("Value",Pivot!$B$2,"Metric", $B58,"Date",E$3),0)</f>
        <v>276316182</v>
      </c>
      <c r="F58" s="17">
        <f>IFERROR(GETPIVOTDATA("Value",Pivot!$B$2,"Metric", $B58,"Date",F$3),0)</f>
        <v>8266398000</v>
      </c>
      <c r="G58" s="17">
        <f>IFERROR(GETPIVOTDATA("Value",Pivot!$B$2,"Metric", $B58,"Date",G$3),0)</f>
        <v>8893075000</v>
      </c>
      <c r="H58" s="17">
        <f>IFERROR(GETPIVOTDATA("Value",Pivot!$B$2,"Metric", $B58,"Date",H$3),0)</f>
        <v>8817621000</v>
      </c>
      <c r="I58" s="17">
        <f>IFERROR(GETPIVOTDATA("Value",Pivot!$B$2,"Metric", $B58,"Date",I$3),0)</f>
        <v>10992470000</v>
      </c>
      <c r="J58" s="17">
        <f>IFERROR(GETPIVOTDATA("Value",Pivot!$B$2,"Metric", $B58,"Date",J$3),0)</f>
        <v>12467684000</v>
      </c>
      <c r="K58" s="15"/>
    </row>
    <row r="59" spans="2:11" outlineLevel="1" x14ac:dyDescent="0.2">
      <c r="C59" s="7"/>
      <c r="D59" s="15"/>
      <c r="E59" s="15"/>
      <c r="F59" s="15"/>
      <c r="G59" s="15"/>
      <c r="H59" s="15"/>
      <c r="I59" s="15"/>
      <c r="J59" s="15"/>
    </row>
    <row r="60" spans="2:11" outlineLevel="1" x14ac:dyDescent="0.2">
      <c r="C60" s="7" t="s">
        <v>180</v>
      </c>
      <c r="D60" s="15"/>
      <c r="E60" s="15"/>
      <c r="F60" s="15"/>
      <c r="G60" s="15"/>
      <c r="H60" s="15"/>
      <c r="I60" s="15"/>
      <c r="J60" s="15"/>
    </row>
    <row r="61" spans="2:11" outlineLevel="1" x14ac:dyDescent="0.2">
      <c r="B61" s="16" t="s">
        <v>21</v>
      </c>
      <c r="C61" s="40" t="s">
        <v>105</v>
      </c>
      <c r="D61" s="15">
        <f>IFERROR(GETPIVOTDATA("Value",Pivot!$B$2,"Metric", $B61,"Date",D$3),0)</f>
        <v>0</v>
      </c>
      <c r="E61" s="15">
        <f>IFERROR(GETPIVOTDATA("Value",Pivot!$B$2,"Metric", $B61,"Date",E$3),0)</f>
        <v>356386000</v>
      </c>
      <c r="F61" s="15">
        <f>IFERROR(GETPIVOTDATA("Value",Pivot!$B$2,"Metric", $B61,"Date",F$3),0)</f>
        <v>1174167000</v>
      </c>
      <c r="G61" s="15">
        <f>IFERROR(GETPIVOTDATA("Value",Pivot!$B$2,"Metric", $B61,"Date",G$3),0)</f>
        <v>1624771000</v>
      </c>
      <c r="H61" s="15">
        <f>IFERROR(GETPIVOTDATA("Value",Pivot!$B$2,"Metric", $B61,"Date",H$3),0)</f>
        <v>1681241000</v>
      </c>
      <c r="I61" s="15">
        <f>IFERROR(GETPIVOTDATA("Value",Pivot!$B$2,"Metric", $B61,"Date",I$3),0)</f>
        <v>2588496000</v>
      </c>
      <c r="J61" s="15">
        <f>IFERROR(GETPIVOTDATA("Value",Pivot!$B$2,"Metric", $B61,"Date",J$3),0)</f>
        <v>3324426000</v>
      </c>
    </row>
    <row r="62" spans="2:11" outlineLevel="1" x14ac:dyDescent="0.2">
      <c r="B62" s="16" t="s">
        <v>152</v>
      </c>
      <c r="C62" s="40" t="s">
        <v>161</v>
      </c>
      <c r="D62" s="15">
        <f>IFERROR(GETPIVOTDATA("Value",Pivot!$B$2,"Metric", $B62,"Date",D$3),0)</f>
        <v>0</v>
      </c>
      <c r="E62" s="15">
        <f>IFERROR(GETPIVOTDATA("Value",Pivot!$B$2,"Metric", $B62,"Date",E$3),0)</f>
        <v>207957000</v>
      </c>
      <c r="F62" s="15">
        <f>IFERROR(GETPIVOTDATA("Value",Pivot!$B$2,"Metric", $B62,"Date",F$3),0)</f>
        <v>155606000</v>
      </c>
      <c r="G62" s="15">
        <f>IFERROR(GETPIVOTDATA("Value",Pivot!$B$2,"Metric", $B62,"Date",G$3),0)</f>
        <v>309644000</v>
      </c>
      <c r="H62" s="15">
        <f>IFERROR(GETPIVOTDATA("Value",Pivot!$B$2,"Metric", $B62,"Date",H$3),0)</f>
        <v>370726000</v>
      </c>
      <c r="I62" s="15">
        <f>IFERROR(GETPIVOTDATA("Value",Pivot!$B$2,"Metric", $B62,"Date",I$3),0)</f>
        <v>424024000</v>
      </c>
      <c r="J62" s="15">
        <f>IFERROR(GETPIVOTDATA("Value",Pivot!$B$2,"Metric", $B62,"Date",J$3),0)</f>
        <v>525550000</v>
      </c>
    </row>
    <row r="63" spans="2:11" s="16" customFormat="1" outlineLevel="1" x14ac:dyDescent="0.2">
      <c r="B63" s="16" t="s">
        <v>179</v>
      </c>
      <c r="C63" s="40" t="s">
        <v>182</v>
      </c>
      <c r="D63" s="15">
        <f>IFERROR(GETPIVOTDATA("Value",Pivot!$B$2,"Metric", $B63,"Date",D$3),0)</f>
        <v>0</v>
      </c>
      <c r="E63" s="15">
        <f>IFERROR(GETPIVOTDATA("Value",Pivot!$B$2,"Metric", $B63,"Date",E$3),0)</f>
        <v>0</v>
      </c>
      <c r="F63" s="15">
        <f>IFERROR(GETPIVOTDATA("Value",Pivot!$B$2,"Metric", $B63,"Date",F$3),0)</f>
        <v>88480000</v>
      </c>
      <c r="G63" s="15">
        <f>IFERROR(GETPIVOTDATA("Value",Pivot!$B$2,"Metric", $B63,"Date",G$3),0)</f>
        <v>239844000</v>
      </c>
      <c r="H63" s="15">
        <f>IFERROR(GETPIVOTDATA("Value",Pivot!$B$2,"Metric", $B63,"Date",H$3),0)</f>
        <v>319532000</v>
      </c>
      <c r="I63" s="15">
        <f>IFERROR(GETPIVOTDATA("Value",Pivot!$B$2,"Metric", $B63,"Date",I$3),0)</f>
        <v>390353000</v>
      </c>
      <c r="J63" s="15">
        <f>IFERROR(GETPIVOTDATA("Value",Pivot!$B$2,"Metric", $B63,"Date",J$3),0)</f>
        <v>538147000</v>
      </c>
    </row>
    <row r="64" spans="2:11" outlineLevel="1" x14ac:dyDescent="0.2">
      <c r="B64" s="16" t="s">
        <v>153</v>
      </c>
      <c r="C64" s="40" t="s">
        <v>164</v>
      </c>
      <c r="D64" s="15">
        <f>IFERROR(GETPIVOTDATA("Value",Pivot!$B$2,"Metric", $B64,"Date",D$3),0)</f>
        <v>0</v>
      </c>
      <c r="E64" s="15">
        <f>IFERROR(GETPIVOTDATA("Value",Pivot!$B$2,"Metric", $B64,"Date",E$3),0)</f>
        <v>58415000</v>
      </c>
      <c r="F64" s="15">
        <f>IFERROR(GETPIVOTDATA("Value",Pivot!$B$2,"Metric", $B64,"Date",F$3),0)</f>
        <v>68339000</v>
      </c>
      <c r="G64" s="15">
        <f>IFERROR(GETPIVOTDATA("Value",Pivot!$B$2,"Metric", $B64,"Date",G$3),0)</f>
        <v>126559000</v>
      </c>
      <c r="H64" s="15">
        <f>IFERROR(GETPIVOTDATA("Value",Pivot!$B$2,"Metric", $B64,"Date",H$3),0)</f>
        <v>138754000</v>
      </c>
      <c r="I64" s="15">
        <f>IFERROR(GETPIVOTDATA("Value",Pivot!$B$2,"Metric", $B64,"Date",I$3),0)</f>
        <v>165953000</v>
      </c>
      <c r="J64" s="15">
        <f>IFERROR(GETPIVOTDATA("Value",Pivot!$B$2,"Metric", $B64,"Date",J$3),0)</f>
        <v>163000000</v>
      </c>
    </row>
    <row r="65" spans="2:15" outlineLevel="1" x14ac:dyDescent="0.2">
      <c r="B65" s="16" t="s">
        <v>154</v>
      </c>
      <c r="C65" s="40" t="s">
        <v>157</v>
      </c>
      <c r="D65" s="15">
        <f>IFERROR(GETPIVOTDATA("Value",Pivot!$B$2,"Metric", $B65,"Date",D$3),0)</f>
        <v>0</v>
      </c>
      <c r="E65" s="15">
        <f>IFERROR(GETPIVOTDATA("Value",Pivot!$B$2,"Metric", $B65,"Date",E$3),0)</f>
        <v>0</v>
      </c>
      <c r="F65" s="15">
        <f>IFERROR(GETPIVOTDATA("Value",Pivot!$B$2,"Metric", $B65,"Date",F$3),0)</f>
        <v>48962000</v>
      </c>
      <c r="G65" s="15">
        <f>IFERROR(GETPIVOTDATA("Value",Pivot!$B$2,"Metric", $B65,"Date",G$3),0)</f>
        <v>41791000</v>
      </c>
      <c r="H65" s="15">
        <f>IFERROR(GETPIVOTDATA("Value",Pivot!$B$2,"Metric", $B65,"Date",H$3),0)</f>
        <v>34419000</v>
      </c>
      <c r="I65" s="15">
        <f>IFERROR(GETPIVOTDATA("Value",Pivot!$B$2,"Metric", $B65,"Date",I$3),0)</f>
        <v>36867000</v>
      </c>
      <c r="J65" s="15">
        <f>IFERROR(GETPIVOTDATA("Value",Pivot!$B$2,"Metric", $B65,"Date",J$3),0)</f>
        <v>39663000</v>
      </c>
      <c r="K65" s="15"/>
    </row>
    <row r="66" spans="2:15" outlineLevel="1" x14ac:dyDescent="0.2">
      <c r="B66" s="16"/>
      <c r="C66" s="40" t="s">
        <v>158</v>
      </c>
      <c r="D66" s="15">
        <f>D67-(D61+D62+D64+D65)</f>
        <v>0</v>
      </c>
      <c r="E66" s="15">
        <f>E67-(E61+E62+E64+E65)</f>
        <v>-612990899</v>
      </c>
      <c r="F66" s="15">
        <f>F67-(F61+F62+F64+F65)</f>
        <v>971754000</v>
      </c>
      <c r="G66" s="15">
        <f t="shared" ref="G66:I66" si="12">G67-(G61+G62+G64+G65)</f>
        <v>1241424000</v>
      </c>
      <c r="H66" s="15">
        <f t="shared" si="12"/>
        <v>1314550000</v>
      </c>
      <c r="I66" s="15">
        <f t="shared" si="12"/>
        <v>1971094000</v>
      </c>
      <c r="J66" s="15">
        <f>J67-(J61+J62+J64+J65)</f>
        <v>2360846000</v>
      </c>
      <c r="K66" s="39"/>
    </row>
    <row r="67" spans="2:15" outlineLevel="1" x14ac:dyDescent="0.2">
      <c r="B67" s="6" t="s">
        <v>20</v>
      </c>
      <c r="C67" s="38" t="s">
        <v>83</v>
      </c>
      <c r="D67" s="43">
        <f>IFERROR(GETPIVOTDATA("Value",Pivot!$B$2,"Metric", $B67,"Date",D$3),0)</f>
        <v>0</v>
      </c>
      <c r="E67" s="43">
        <f>IFERROR(GETPIVOTDATA("Value",Pivot!$B$2,"Metric", $B67,"Date",E$3),0)</f>
        <v>9767101</v>
      </c>
      <c r="F67" s="43">
        <f>IFERROR(GETPIVOTDATA("Value",Pivot!$B$2,"Metric", $B67,"Date",F$3),0)</f>
        <v>2418828000</v>
      </c>
      <c r="G67" s="43">
        <f>IFERROR(GETPIVOTDATA("Value",Pivot!$B$2,"Metric", $B67,"Date",G$3),0)</f>
        <v>3344189000</v>
      </c>
      <c r="H67" s="43">
        <f>IFERROR(GETPIVOTDATA("Value",Pivot!$B$2,"Metric", $B67,"Date",H$3),0)</f>
        <v>3539690000</v>
      </c>
      <c r="I67" s="43">
        <f>IFERROR(GETPIVOTDATA("Value",Pivot!$B$2,"Metric", $B67,"Date",I$3),0)</f>
        <v>5186434000</v>
      </c>
      <c r="J67" s="43">
        <f>IFERROR(GETPIVOTDATA("Value",Pivot!$B$2,"Metric", $B67,"Date",J$3),0)</f>
        <v>6413485000</v>
      </c>
      <c r="K67" s="15"/>
    </row>
    <row r="68" spans="2:15" outlineLevel="1" x14ac:dyDescent="0.2">
      <c r="C68" s="5"/>
      <c r="D68" s="15"/>
      <c r="E68" s="15"/>
      <c r="F68" s="15"/>
      <c r="G68" s="15"/>
      <c r="H68" s="15"/>
      <c r="I68" s="15"/>
      <c r="J68" s="15"/>
    </row>
    <row r="69" spans="2:15" outlineLevel="1" x14ac:dyDescent="0.2">
      <c r="C69" s="7" t="s">
        <v>191</v>
      </c>
      <c r="D69" s="20"/>
      <c r="E69" s="20"/>
      <c r="F69" s="20"/>
      <c r="G69" s="20"/>
      <c r="H69" s="20"/>
      <c r="I69" s="20"/>
      <c r="J69" s="20"/>
    </row>
    <row r="70" spans="2:15" outlineLevel="1" x14ac:dyDescent="0.2">
      <c r="B70" s="16" t="s">
        <v>155</v>
      </c>
      <c r="C70" s="40" t="s">
        <v>159</v>
      </c>
      <c r="D70" s="15">
        <f>IFERROR(GETPIVOTDATA("Value",Pivot!$B$2,"Metric", $B70,"Date",D$3),0)</f>
        <v>0</v>
      </c>
      <c r="E70" s="15">
        <f>IFERROR(GETPIVOTDATA("Value",Pivot!$B$2,"Metric", $B70,"Date",E$3),0)</f>
        <v>5260809</v>
      </c>
      <c r="F70" s="15">
        <f>IFERROR(GETPIVOTDATA("Value",Pivot!$B$2,"Metric", $B70,"Date",F$3),0)</f>
        <v>2160934000</v>
      </c>
      <c r="G70" s="15">
        <f>IFERROR(GETPIVOTDATA("Value",Pivot!$B$2,"Metric", $B70,"Date",G$3),0)</f>
        <v>2293903000</v>
      </c>
      <c r="H70" s="15">
        <f>IFERROR(GETPIVOTDATA("Value",Pivot!$B$2,"Metric", $B70,"Date",H$3),0)</f>
        <v>2410982000</v>
      </c>
      <c r="I70" s="15">
        <f>IFERROR(GETPIVOTDATA("Value",Pivot!$B$2,"Metric", $B70,"Date",I$3),0)</f>
        <v>3269239000</v>
      </c>
      <c r="J70" s="15">
        <f>IFERROR(GETPIVOTDATA("Value",Pivot!$B$2,"Metric", $B70,"Date",J$3),0)</f>
        <v>3812770000</v>
      </c>
    </row>
    <row r="71" spans="2:15" outlineLevel="1" x14ac:dyDescent="0.2">
      <c r="B71" s="16" t="s">
        <v>156</v>
      </c>
      <c r="C71" s="40" t="s">
        <v>184</v>
      </c>
      <c r="D71" s="15">
        <f>IFERROR(GETPIVOTDATA("Value",Pivot!$B$2,"Metric", $B71,"Date",D$3),0)</f>
        <v>0</v>
      </c>
      <c r="E71" s="15">
        <f>IFERROR(GETPIVOTDATA("Value",Pivot!$B$2,"Metric", $B71,"Date",E$3),0)</f>
        <v>-261631</v>
      </c>
      <c r="F71" s="15">
        <f>IFERROR(GETPIVOTDATA("Value",Pivot!$B$2,"Metric", $B71,"Date",F$3),0)</f>
        <v>-497506000</v>
      </c>
      <c r="G71" s="15">
        <f>IFERROR(GETPIVOTDATA("Value",Pivot!$B$2,"Metric", $B71,"Date",G$3),0)</f>
        <v>-689345000</v>
      </c>
      <c r="H71" s="15">
        <f>IFERROR(GETPIVOTDATA("Value",Pivot!$B$2,"Metric", $B71,"Date",H$3),0)</f>
        <v>-882884000</v>
      </c>
      <c r="I71" s="15">
        <f>IFERROR(GETPIVOTDATA("Value",Pivot!$B$2,"Metric", $B71,"Date",I$3),0)</f>
        <v>-1141631000</v>
      </c>
      <c r="J71" s="15">
        <f>IFERROR(GETPIVOTDATA("Value",Pivot!$B$2,"Metric", $B71,"Date",J$3),0)</f>
        <v>-1609455000</v>
      </c>
    </row>
    <row r="72" spans="2:15" outlineLevel="1" x14ac:dyDescent="0.2">
      <c r="B72" s="16" t="s">
        <v>22</v>
      </c>
      <c r="C72" s="7" t="s">
        <v>183</v>
      </c>
      <c r="D72" s="20">
        <f>IFERROR(GETPIVOTDATA("Value",Pivot!$B$2,"Metric", $B72,"Date",D$3),0)</f>
        <v>0</v>
      </c>
      <c r="E72" s="20">
        <f>IFERROR(GETPIVOTDATA("Value",Pivot!$B$2,"Metric", $B72,"Date",E$3),0)</f>
        <v>5000001</v>
      </c>
      <c r="F72" s="20">
        <f>IFERROR(GETPIVOTDATA("Value",Pivot!$B$2,"Metric", $B72,"Date",F$3),0)</f>
        <v>1663567000</v>
      </c>
      <c r="G72" s="20">
        <f>IFERROR(GETPIVOTDATA("Value",Pivot!$B$2,"Metric", $B72,"Date",G$3),0)</f>
        <v>1604698000</v>
      </c>
      <c r="H72" s="20">
        <f>IFERROR(GETPIVOTDATA("Value",Pivot!$B$2,"Metric", $B72,"Date",H$3),0)</f>
        <v>1528239000</v>
      </c>
      <c r="I72" s="20">
        <f>IFERROR(GETPIVOTDATA("Value",Pivot!$B$2,"Metric", $B72,"Date",I$3),0)</f>
        <v>2127758000</v>
      </c>
      <c r="J72" s="20">
        <f>IFERROR(GETPIVOTDATA("Value",Pivot!$B$2,"Metric", $B72,"Date",J$3),0)</f>
        <v>2205362000</v>
      </c>
    </row>
    <row r="73" spans="2:15" outlineLevel="1" x14ac:dyDescent="0.2">
      <c r="B73" s="16" t="s">
        <v>106</v>
      </c>
      <c r="C73" s="40" t="s">
        <v>107</v>
      </c>
      <c r="D73" s="15">
        <f>IFERROR(GETPIVOTDATA("Value",Pivot!$B$2,"Metric", $B73,"Date",D$3),0)</f>
        <v>0</v>
      </c>
      <c r="E73" s="15">
        <f>IFERROR(GETPIVOTDATA("Value",Pivot!$B$2,"Metric", $B73,"Date",E$3),0)</f>
        <v>6526000</v>
      </c>
      <c r="F73" s="15">
        <f>IFERROR(GETPIVOTDATA("Value",Pivot!$B$2,"Metric", $B73,"Date",F$3),0)</f>
        <v>4184003000</v>
      </c>
      <c r="G73" s="15">
        <f>IFERROR(GETPIVOTDATA("Value",Pivot!$B$2,"Metric", $B73,"Date",G$3),0)</f>
        <v>3944188000</v>
      </c>
      <c r="H73" s="15">
        <f>IFERROR(GETPIVOTDATA("Value",Pivot!$B$2,"Metric", $B73,"Date",H$3),0)</f>
        <v>3749692000</v>
      </c>
      <c r="I73" s="15">
        <f>IFERROR(GETPIVOTDATA("Value",Pivot!$B$2,"Metric", $B73,"Date",I$3),0)</f>
        <v>3678278000</v>
      </c>
      <c r="J73" s="15">
        <f>IFERROR(GETPIVOTDATA("Value",Pivot!$B$2,"Metric", $B73,"Date",J$3),0)</f>
        <v>3848837000</v>
      </c>
      <c r="K73" s="15"/>
    </row>
    <row r="74" spans="2:15" outlineLevel="1" x14ac:dyDescent="0.2">
      <c r="C74" s="38" t="s">
        <v>108</v>
      </c>
      <c r="D74" s="43">
        <f>D72+D73</f>
        <v>0</v>
      </c>
      <c r="E74" s="43">
        <f t="shared" ref="E74:I74" si="13">E72+E73</f>
        <v>11526001</v>
      </c>
      <c r="F74" s="43">
        <f t="shared" si="13"/>
        <v>5847570000</v>
      </c>
      <c r="G74" s="43">
        <f t="shared" si="13"/>
        <v>5548886000</v>
      </c>
      <c r="H74" s="43">
        <f t="shared" si="13"/>
        <v>5277931000</v>
      </c>
      <c r="I74" s="43">
        <f t="shared" si="13"/>
        <v>5806036000</v>
      </c>
      <c r="J74" s="43">
        <f>J72+J73</f>
        <v>6054199000</v>
      </c>
    </row>
    <row r="75" spans="2:15" outlineLevel="1" x14ac:dyDescent="0.2">
      <c r="B75" s="16"/>
      <c r="C75" s="5"/>
      <c r="D75" s="15"/>
      <c r="E75" s="15"/>
      <c r="F75" s="15"/>
      <c r="G75" s="15"/>
      <c r="H75" s="15"/>
      <c r="I75" s="15"/>
      <c r="J75" s="15"/>
    </row>
    <row r="76" spans="2:15" outlineLevel="1" x14ac:dyDescent="0.2">
      <c r="C76" s="7" t="s">
        <v>84</v>
      </c>
      <c r="D76" s="17">
        <f>SUM(D74,D67)</f>
        <v>0</v>
      </c>
      <c r="E76" s="17">
        <f t="shared" ref="E76:J76" si="14">E74+E67</f>
        <v>21293102</v>
      </c>
      <c r="F76" s="17">
        <f t="shared" si="14"/>
        <v>8266398000</v>
      </c>
      <c r="G76" s="17">
        <f t="shared" si="14"/>
        <v>8893075000</v>
      </c>
      <c r="H76" s="17">
        <f t="shared" si="14"/>
        <v>8817621000</v>
      </c>
      <c r="I76" s="17">
        <f t="shared" si="14"/>
        <v>10992470000</v>
      </c>
      <c r="J76" s="17">
        <f t="shared" si="14"/>
        <v>12467684000</v>
      </c>
    </row>
    <row r="77" spans="2:15" outlineLevel="1" x14ac:dyDescent="0.2">
      <c r="C77" s="5"/>
    </row>
    <row r="78" spans="2:15" outlineLevel="1" x14ac:dyDescent="0.2">
      <c r="C78" s="12" t="s">
        <v>85</v>
      </c>
      <c r="E78" s="34">
        <f t="shared" ref="E78:J78" si="15">E58-E76</f>
        <v>255023080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</row>
    <row r="79" spans="2:15" x14ac:dyDescent="0.2">
      <c r="C79" s="18"/>
      <c r="E79" s="36" t="s">
        <v>110</v>
      </c>
    </row>
    <row r="80" spans="2:15" ht="19" x14ac:dyDescent="0.25">
      <c r="C80" s="51" t="s">
        <v>80</v>
      </c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</row>
    <row r="81" spans="2:13" outlineLevel="1" x14ac:dyDescent="0.2">
      <c r="C81" s="7"/>
    </row>
    <row r="82" spans="2:13" outlineLevel="1" x14ac:dyDescent="0.2">
      <c r="C82" s="7" t="s">
        <v>86</v>
      </c>
      <c r="D82" s="14"/>
      <c r="E82" s="14"/>
      <c r="F82" s="14"/>
      <c r="G82" s="14"/>
      <c r="H82" s="14"/>
      <c r="I82" s="14"/>
      <c r="J82" s="14"/>
    </row>
    <row r="83" spans="2:13" outlineLevel="1" x14ac:dyDescent="0.2">
      <c r="B83" s="16" t="s">
        <v>125</v>
      </c>
      <c r="C83" s="46" t="s">
        <v>192</v>
      </c>
      <c r="D83" s="14">
        <f>IFERROR(GETPIVOTDATA("Value",Pivot!$B$2,"Metric", $B83,"Date",D$3),0)</f>
        <v>20465000</v>
      </c>
      <c r="E83" s="14">
        <f>IFERROR(GETPIVOTDATA("Value",Pivot!$B$2,"Metric", $B83,"Date",E$3),0)</f>
        <v>-82441000</v>
      </c>
      <c r="F83" s="14">
        <f>IFERROR(GETPIVOTDATA("Value",Pivot!$B$2,"Metric", $B83,"Date",F$3),0)</f>
        <v>-1802266000</v>
      </c>
      <c r="G83" s="14">
        <f>IFERROR(GETPIVOTDATA("Value",Pivot!$B$2,"Metric", $B83,"Date",G$3),0)</f>
        <v>-40235000</v>
      </c>
      <c r="H83" s="14">
        <f>IFERROR(GETPIVOTDATA("Value",Pivot!$B$2,"Metric", $B83,"Date",H$3),0)</f>
        <v>220776000</v>
      </c>
      <c r="I83" s="14">
        <f>IFERROR(GETPIVOTDATA("Value",Pivot!$B$2,"Metric", $B83,"Date",I$3),0)</f>
        <v>420446000</v>
      </c>
      <c r="J83" s="14">
        <f>IFERROR(GETPIVOTDATA("Value",Pivot!$B$2,"Metric", $B83,"Date",J$3),0)</f>
        <v>305487000</v>
      </c>
      <c r="K83" s="15"/>
      <c r="L83" s="15"/>
      <c r="M83" s="15"/>
    </row>
    <row r="84" spans="2:13" outlineLevel="1" x14ac:dyDescent="0.2">
      <c r="B84" s="16" t="s">
        <v>126</v>
      </c>
      <c r="C84" s="40" t="s">
        <v>128</v>
      </c>
      <c r="D84" s="15">
        <f>IFERROR(GETPIVOTDATA("Value",Pivot!$B$2,"Metric", $B84,"Date",D$3),0)</f>
        <v>829000</v>
      </c>
      <c r="E84" s="15">
        <f>IFERROR(GETPIVOTDATA("Value",Pivot!$B$2,"Metric", $B84,"Date",E$3),0)</f>
        <v>673000</v>
      </c>
      <c r="F84" s="15">
        <f>IFERROR(GETPIVOTDATA("Value",Pivot!$B$2,"Metric", $B84,"Date",F$3),0)</f>
        <v>665000</v>
      </c>
      <c r="G84" s="15">
        <f>IFERROR(GETPIVOTDATA("Value",Pivot!$B$2,"Metric", $B84,"Date",G$3),0)</f>
        <v>2304000</v>
      </c>
      <c r="H84" s="15">
        <f>IFERROR(GETPIVOTDATA("Value",Pivot!$B$2,"Metric", $B84,"Date",H$3),0)</f>
        <v>10226000</v>
      </c>
      <c r="I84" s="15">
        <f>IFERROR(GETPIVOTDATA("Value",Pivot!$B$2,"Metric", $B84,"Date",I$3),0)</f>
        <v>16660000</v>
      </c>
      <c r="J84" s="15">
        <f>IFERROR(GETPIVOTDATA("Value",Pivot!$B$2,"Metric", $B84,"Date",J$3),0)</f>
        <v>23446000</v>
      </c>
      <c r="K84" s="15"/>
      <c r="L84" s="15"/>
      <c r="M84" s="15"/>
    </row>
    <row r="85" spans="2:13" outlineLevel="1" x14ac:dyDescent="0.2">
      <c r="C85" s="40" t="s">
        <v>219</v>
      </c>
      <c r="D85" s="26">
        <f>ABS(D26)</f>
        <v>0</v>
      </c>
      <c r="E85" s="26">
        <f>ABS(E26)</f>
        <v>0</v>
      </c>
      <c r="F85" s="26">
        <f t="shared" ref="F85:J85" si="16">ABS(F26)</f>
        <v>113889000</v>
      </c>
      <c r="G85" s="26">
        <f t="shared" si="16"/>
        <v>256909000</v>
      </c>
      <c r="H85" s="26">
        <f t="shared" si="16"/>
        <v>300341000</v>
      </c>
      <c r="I85" s="26">
        <f t="shared" si="16"/>
        <v>258256000</v>
      </c>
      <c r="J85" s="26">
        <f t="shared" si="16"/>
        <v>358952000</v>
      </c>
      <c r="K85" s="15"/>
      <c r="L85" s="15"/>
      <c r="M85" s="15"/>
    </row>
    <row r="86" spans="2:13" outlineLevel="1" x14ac:dyDescent="0.2">
      <c r="B86" s="16" t="s">
        <v>111</v>
      </c>
      <c r="C86" s="40" t="s">
        <v>218</v>
      </c>
      <c r="D86" s="26">
        <f>IFERROR(GETPIVOTDATA("Value",Pivot!$B$2,"Metric", $B86,"Date",D$3),0)</f>
        <v>0</v>
      </c>
      <c r="E86" s="26">
        <f>IFERROR(GETPIVOTDATA("Value",Pivot!$B$2,"Metric", $B86,"Date",E$3),0)</f>
        <v>0</v>
      </c>
      <c r="F86" s="26">
        <f>IFERROR(GETPIVOTDATA("Value",Pivot!$B$2,"Metric", $B86,"Date",F$3),0)</f>
        <v>1205336000</v>
      </c>
      <c r="G86" s="26">
        <f>IFERROR(GETPIVOTDATA("Value",Pivot!$B$2,"Metric", $B86,"Date",G$3),0)</f>
        <v>420832000</v>
      </c>
      <c r="H86" s="26">
        <f>IFERROR(GETPIVOTDATA("Value",Pivot!$B$2,"Metric", $B86,"Date",H$3),0)</f>
        <v>312564000</v>
      </c>
      <c r="I86" s="26">
        <f>IFERROR(GETPIVOTDATA("Value",Pivot!$B$2,"Metric", $B86,"Date",I$3),0)</f>
        <v>312609000</v>
      </c>
      <c r="J86" s="26">
        <f>IFERROR(GETPIVOTDATA("Value",Pivot!$B$2,"Metric", $B86,"Date",J$3),0)</f>
        <v>673524000</v>
      </c>
      <c r="K86" s="15"/>
      <c r="L86" s="15"/>
      <c r="M86" s="15"/>
    </row>
    <row r="87" spans="2:13" outlineLevel="1" x14ac:dyDescent="0.2">
      <c r="C87" s="40" t="s">
        <v>123</v>
      </c>
      <c r="D87" s="25">
        <f>D88-D83-D84-D85-D86</f>
        <v>22770000</v>
      </c>
      <c r="E87" s="25">
        <f>E88-E83-E84-E85-E86</f>
        <v>87002000</v>
      </c>
      <c r="F87" s="25">
        <f t="shared" ref="F87:J87" si="17">F88-F83-F84-F85-F86</f>
        <v>764034000</v>
      </c>
      <c r="G87" s="25">
        <f>G88-G83-G84-G85-G86</f>
        <v>88637000</v>
      </c>
      <c r="H87" s="25">
        <f t="shared" si="17"/>
        <v>105238000</v>
      </c>
      <c r="I87" s="25">
        <f t="shared" si="17"/>
        <v>-8416000</v>
      </c>
      <c r="J87" s="25">
        <f t="shared" si="17"/>
        <v>-105377000</v>
      </c>
      <c r="K87" s="15"/>
    </row>
    <row r="88" spans="2:13" outlineLevel="1" x14ac:dyDescent="0.2">
      <c r="B88" s="6" t="s">
        <v>25</v>
      </c>
      <c r="C88" s="7" t="s">
        <v>87</v>
      </c>
      <c r="D88" s="37">
        <f>IFERROR(GETPIVOTDATA("Value",Pivot!$B$2,"Metric", $B88,"Date",D$3),0)</f>
        <v>44064000</v>
      </c>
      <c r="E88" s="37">
        <f>IFERROR(GETPIVOTDATA("Value",Pivot!$B$2,"Metric", $B88,"Date",E$3),0)</f>
        <v>5234000</v>
      </c>
      <c r="F88" s="37">
        <f>IFERROR(GETPIVOTDATA("Value",Pivot!$B$2,"Metric", $B88,"Date",F$3),0)</f>
        <v>281658000</v>
      </c>
      <c r="G88" s="37">
        <f>IFERROR(GETPIVOTDATA("Value",Pivot!$B$2,"Metric", $B88,"Date",G$3),0)</f>
        <v>728447000</v>
      </c>
      <c r="H88" s="37">
        <f>IFERROR(GETPIVOTDATA("Value",Pivot!$B$2,"Metric", $B88,"Date",H$3),0)</f>
        <v>949145000</v>
      </c>
      <c r="I88" s="37">
        <f>IFERROR(GETPIVOTDATA("Value",Pivot!$B$2,"Metric", $B88,"Date",I$3),0)</f>
        <v>999555000</v>
      </c>
      <c r="J88" s="37">
        <f>IFERROR(GETPIVOTDATA("Value",Pivot!$B$2,"Metric", $B88,"Date",J$3),0)</f>
        <v>1256032000</v>
      </c>
      <c r="K88" s="20"/>
      <c r="L88" s="15"/>
      <c r="M88" s="15"/>
    </row>
    <row r="89" spans="2:13" outlineLevel="1" x14ac:dyDescent="0.2">
      <c r="C89" s="7"/>
      <c r="D89" s="23"/>
      <c r="E89" s="23"/>
      <c r="F89" s="23"/>
      <c r="G89" s="23"/>
      <c r="H89" s="23"/>
      <c r="I89" s="23"/>
      <c r="J89" s="23"/>
      <c r="K89" s="15"/>
      <c r="L89" s="15"/>
      <c r="M89" s="15"/>
    </row>
    <row r="90" spans="2:13" outlineLevel="1" x14ac:dyDescent="0.2">
      <c r="C90" s="7" t="s">
        <v>88</v>
      </c>
      <c r="D90" s="26"/>
      <c r="E90" s="26"/>
      <c r="F90" s="26"/>
      <c r="G90" s="26"/>
      <c r="H90" s="26"/>
      <c r="I90" s="26"/>
      <c r="J90" s="26"/>
      <c r="K90" s="15"/>
      <c r="L90" s="15"/>
      <c r="M90" s="15"/>
    </row>
    <row r="91" spans="2:13" outlineLevel="1" x14ac:dyDescent="0.2">
      <c r="B91" s="16" t="s">
        <v>207</v>
      </c>
      <c r="C91" s="26" t="s">
        <v>207</v>
      </c>
      <c r="D91" s="26">
        <f>-IFERROR(GETPIVOTDATA("Value",Pivot!$B$2,"Metric", $B91,"Date",D$3),0)</f>
        <v>-1173000</v>
      </c>
      <c r="E91" s="26">
        <f>-IFERROR(GETPIVOTDATA("Value",Pivot!$B$2,"Metric", $B91,"Date",E$3),0)</f>
        <v>-652000</v>
      </c>
      <c r="F91" s="26">
        <f>-IFERROR(GETPIVOTDATA("Value",Pivot!$B$2,"Metric", $B91,"Date",F$3),0)</f>
        <v>-5261000</v>
      </c>
      <c r="G91" s="26">
        <f>-IFERROR(GETPIVOTDATA("Value",Pivot!$B$2,"Metric", $B91,"Date",G$3),0)</f>
        <v>-65539000</v>
      </c>
      <c r="H91" s="26">
        <f>-IFERROR(GETPIVOTDATA("Value",Pivot!$B$2,"Metric", $B91,"Date",H$3),0)</f>
        <v>-67905000</v>
      </c>
      <c r="I91" s="26">
        <f>-IFERROR(GETPIVOTDATA("Value",Pivot!$B$2,"Metric", $B91,"Date",I$3),0)</f>
        <v>-64187000</v>
      </c>
      <c r="J91" s="26">
        <f>-IFERROR(GETPIVOTDATA("Value",Pivot!$B$2,"Metric", $B91,"Date",J$3),0)</f>
        <v>-57748000</v>
      </c>
      <c r="K91" s="15"/>
      <c r="L91" s="15"/>
      <c r="M91" s="15"/>
    </row>
    <row r="92" spans="2:13" s="16" customFormat="1" outlineLevel="1" x14ac:dyDescent="0.2">
      <c r="B92" s="16" t="s">
        <v>213</v>
      </c>
      <c r="C92" s="26" t="s">
        <v>214</v>
      </c>
      <c r="D92" s="26">
        <f>-IFERROR(GETPIVOTDATA("Value",Pivot!$B$2,"Metric", $B92,"Date",D$3),0)</f>
        <v>0</v>
      </c>
      <c r="E92" s="26">
        <f>-IFERROR(GETPIVOTDATA("Value",Pivot!$B$2,"Metric", $B92,"Date",E$3),0)</f>
        <v>0</v>
      </c>
      <c r="F92" s="26">
        <f>-IFERROR(GETPIVOTDATA("Value",Pivot!$B$2,"Metric", $B92,"Date",F$3),0)</f>
        <v>-1578866000</v>
      </c>
      <c r="G92" s="26">
        <f>-IFERROR(GETPIVOTDATA("Value",Pivot!$B$2,"Metric", $B92,"Date",G$3),0)</f>
        <v>-114454000</v>
      </c>
      <c r="H92" s="26">
        <f>-IFERROR(GETPIVOTDATA("Value",Pivot!$B$2,"Metric", $B92,"Date",H$3),0)</f>
        <v>-26265000</v>
      </c>
      <c r="I92" s="26">
        <f>-IFERROR(GETPIVOTDATA("Value",Pivot!$B$2,"Metric", $B92,"Date",I$3),0)</f>
        <v>-445210000</v>
      </c>
      <c r="J92" s="26">
        <f>-IFERROR(GETPIVOTDATA("Value",Pivot!$B$2,"Metric", $B92,"Date",J$3),0)</f>
        <v>-244580000</v>
      </c>
    </row>
    <row r="93" spans="2:13" outlineLevel="1" x14ac:dyDescent="0.2">
      <c r="C93" s="41" t="s">
        <v>215</v>
      </c>
      <c r="D93" s="25">
        <f t="shared" ref="D93" si="18">D94-(D92+D91)</f>
        <v>0</v>
      </c>
      <c r="E93" s="25">
        <f>E94-(E92+E91)</f>
        <v>0</v>
      </c>
      <c r="F93" s="25">
        <f>F94-(F92+F91)</f>
        <v>-14745000</v>
      </c>
      <c r="G93" s="25">
        <f t="shared" ref="G93:J93" si="19">G94-(G92+G91)</f>
        <v>-305225000</v>
      </c>
      <c r="H93" s="25">
        <f t="shared" si="19"/>
        <v>-23861000</v>
      </c>
      <c r="I93" s="25">
        <f t="shared" si="19"/>
        <v>-128748000</v>
      </c>
      <c r="J93" s="25">
        <f t="shared" si="19"/>
        <v>31757000</v>
      </c>
      <c r="K93" s="15"/>
    </row>
    <row r="94" spans="2:13" outlineLevel="1" x14ac:dyDescent="0.2">
      <c r="B94" s="16" t="s">
        <v>26</v>
      </c>
      <c r="C94" s="7" t="s">
        <v>89</v>
      </c>
      <c r="D94" s="17">
        <f>IFERROR(GETPIVOTDATA("Value",Pivot!$B$2,"Metric", $B94,"Date",D$3),0)</f>
        <v>-1173000</v>
      </c>
      <c r="E94" s="17">
        <f>IFERROR(GETPIVOTDATA("Value",Pivot!$B$2,"Metric", $B94,"Date",E$3),0)</f>
        <v>-652000</v>
      </c>
      <c r="F94" s="17">
        <f>IFERROR(GETPIVOTDATA("Value",Pivot!$B$2,"Metric", $B94,"Date",F$3),0)</f>
        <v>-1598872000</v>
      </c>
      <c r="G94" s="17">
        <f>IFERROR(GETPIVOTDATA("Value",Pivot!$B$2,"Metric", $B94,"Date",G$3),0)</f>
        <v>-485218000</v>
      </c>
      <c r="H94" s="17">
        <f>IFERROR(GETPIVOTDATA("Value",Pivot!$B$2,"Metric", $B94,"Date",H$3),0)</f>
        <v>-118031000</v>
      </c>
      <c r="I94" s="17">
        <f>IFERROR(GETPIVOTDATA("Value",Pivot!$B$2,"Metric", $B94,"Date",I$3),0)</f>
        <v>-638145000</v>
      </c>
      <c r="J94" s="17">
        <f>IFERROR(GETPIVOTDATA("Value",Pivot!$B$2,"Metric", $B94,"Date",J$3),0)</f>
        <v>-270571000</v>
      </c>
      <c r="K94" s="15"/>
      <c r="L94" s="15"/>
      <c r="M94" s="15"/>
    </row>
    <row r="95" spans="2:13" outlineLevel="1" x14ac:dyDescent="0.2">
      <c r="C95" s="7"/>
      <c r="D95" s="23"/>
      <c r="E95" s="23"/>
      <c r="F95" s="23"/>
      <c r="G95" s="23"/>
      <c r="H95" s="23"/>
      <c r="I95" s="23"/>
      <c r="J95" s="23"/>
      <c r="K95" s="15"/>
      <c r="L95" s="15"/>
      <c r="M95" s="15"/>
    </row>
    <row r="96" spans="2:13" outlineLevel="1" x14ac:dyDescent="0.2">
      <c r="C96" s="7" t="s">
        <v>90</v>
      </c>
      <c r="D96" s="23"/>
      <c r="E96" s="23"/>
      <c r="F96" s="23"/>
      <c r="G96" s="23"/>
      <c r="H96" s="23"/>
      <c r="I96" s="23"/>
      <c r="J96" s="23"/>
      <c r="K96" s="15"/>
      <c r="L96" s="15"/>
      <c r="M96" s="15"/>
    </row>
    <row r="97" spans="2:13" s="16" customFormat="1" outlineLevel="1" x14ac:dyDescent="0.2">
      <c r="B97" s="16" t="s">
        <v>117</v>
      </c>
      <c r="C97" s="40" t="s">
        <v>121</v>
      </c>
      <c r="D97" s="23">
        <f>IFERROR(GETPIVOTDATA("Value",Pivot!$B$2,"Metric", $B97,"Date",D$3),0)</f>
        <v>344944000</v>
      </c>
      <c r="E97" s="23">
        <f>IFERROR(GETPIVOTDATA("Value",Pivot!$B$2,"Metric", $B97,"Date",E$3),0)</f>
        <v>240547000</v>
      </c>
      <c r="F97" s="23">
        <f>IFERROR(GETPIVOTDATA("Value",Pivot!$B$2,"Metric", $B97,"Date",F$3),0)</f>
        <v>1390296000</v>
      </c>
      <c r="G97" s="23">
        <f>IFERROR(GETPIVOTDATA("Value",Pivot!$B$2,"Metric", $B97,"Date",G$3),0)</f>
        <v>775060000</v>
      </c>
      <c r="H97" s="23">
        <f>IFERROR(GETPIVOTDATA("Value",Pivot!$B$2,"Metric", $B97,"Date",H$3),0)</f>
        <v>1054800000</v>
      </c>
      <c r="I97" s="23">
        <f>IFERROR(GETPIVOTDATA("Value",Pivot!$B$2,"Metric", $B97,"Date",I$3),0)</f>
        <v>2170000000</v>
      </c>
      <c r="J97" s="23">
        <f>IFERROR(GETPIVOTDATA("Value",Pivot!$B$2,"Metric", $B97,"Date",J$3),0)</f>
        <v>2270000000</v>
      </c>
    </row>
    <row r="98" spans="2:13" outlineLevel="1" x14ac:dyDescent="0.2">
      <c r="B98" s="16" t="s">
        <v>112</v>
      </c>
      <c r="C98" s="40" t="s">
        <v>124</v>
      </c>
      <c r="D98" s="23">
        <f>-IFERROR(GETPIVOTDATA("Value",Pivot!$B$2,"Metric", $B98,"Date",D$3),0)</f>
        <v>-83590000</v>
      </c>
      <c r="E98" s="23">
        <f>-IFERROR(GETPIVOTDATA("Value",Pivot!$B$2,"Metric", $B98,"Date",E$3),0)</f>
        <v>-171458000</v>
      </c>
      <c r="F98" s="23">
        <f>-IFERROR(GETPIVOTDATA("Value",Pivot!$B$2,"Metric", $B98,"Date",F$3),0)</f>
        <v>-577835000</v>
      </c>
      <c r="G98" s="23">
        <f>-IFERROR(GETPIVOTDATA("Value",Pivot!$B$2,"Metric", $B98,"Date",G$3),0)</f>
        <v>-323000000</v>
      </c>
      <c r="H98" s="23">
        <f>-IFERROR(GETPIVOTDATA("Value",Pivot!$B$2,"Metric", $B98,"Date",H$3),0)</f>
        <v>-1000000000</v>
      </c>
      <c r="I98" s="23">
        <f>-IFERROR(GETPIVOTDATA("Value",Pivot!$B$2,"Metric", $B98,"Date",I$3),0)</f>
        <v>-1245000000</v>
      </c>
      <c r="J98" s="23">
        <f>-IFERROR(GETPIVOTDATA("Value",Pivot!$B$2,"Metric", $B98,"Date",J$3),0)</f>
        <v>-1540000000</v>
      </c>
      <c r="K98" s="15"/>
      <c r="L98" s="15"/>
      <c r="M98" s="15"/>
    </row>
    <row r="99" spans="2:13" s="16" customFormat="1" outlineLevel="1" x14ac:dyDescent="0.2">
      <c r="B99" s="16" t="s">
        <v>113</v>
      </c>
      <c r="C99" s="40" t="s">
        <v>120</v>
      </c>
      <c r="D99" s="23">
        <f>-IFERROR(GETPIVOTDATA("Value",Pivot!$B$2,"Metric", $B99,"Date",D$3),0)</f>
        <v>0</v>
      </c>
      <c r="E99" s="23">
        <f>-IFERROR(GETPIVOTDATA("Value",Pivot!$B$2,"Metric", $B99,"Date",E$3),0)</f>
        <v>0</v>
      </c>
      <c r="F99" s="23">
        <f>-IFERROR(GETPIVOTDATA("Value",Pivot!$B$2,"Metric", $B99,"Date",F$3),0)</f>
        <v>-47076000</v>
      </c>
      <c r="G99" s="23">
        <f>-IFERROR(GETPIVOTDATA("Value",Pivot!$B$2,"Metric", $B99,"Date",G$3),0)</f>
        <v>-182550000</v>
      </c>
      <c r="H99" s="23">
        <f>-IFERROR(GETPIVOTDATA("Value",Pivot!$B$2,"Metric", $B99,"Date",H$3),0)</f>
        <v>-247882000</v>
      </c>
      <c r="I99" s="23">
        <f>-IFERROR(GETPIVOTDATA("Value",Pivot!$B$2,"Metric", $B99,"Date",I$3),0)</f>
        <v>-368331000</v>
      </c>
      <c r="J99" s="23">
        <f>-IFERROR(GETPIVOTDATA("Value",Pivot!$B$2,"Metric", $B99,"Date",J$3),0)</f>
        <v>-546657000</v>
      </c>
    </row>
    <row r="100" spans="2:13" outlineLevel="1" x14ac:dyDescent="0.2">
      <c r="B100" s="16" t="s">
        <v>118</v>
      </c>
      <c r="C100" s="40" t="s">
        <v>91</v>
      </c>
      <c r="D100" s="23">
        <f>IFERROR(GETPIVOTDATA("Value",Pivot!$B$2,"Metric", $B100,"Date",D$3),0)</f>
        <v>0</v>
      </c>
      <c r="E100" s="23">
        <f>IFERROR(GETPIVOTDATA("Value",Pivot!$B$2,"Metric", $B100,"Date",E$3),0)</f>
        <v>269500000</v>
      </c>
      <c r="F100" s="23">
        <f>IFERROR(GETPIVOTDATA("Value",Pivot!$B$2,"Metric", $B100,"Date",F$3),0)</f>
        <v>0</v>
      </c>
      <c r="G100" s="23">
        <f>IFERROR(GETPIVOTDATA("Value",Pivot!$B$2,"Metric", $B100,"Date",G$3),0)</f>
        <v>0</v>
      </c>
      <c r="H100" s="23">
        <f>IFERROR(GETPIVOTDATA("Value",Pivot!$B$2,"Metric", $B100,"Date",H$3),0)</f>
        <v>0</v>
      </c>
      <c r="I100" s="23">
        <f>IFERROR(GETPIVOTDATA("Value",Pivot!$B$2,"Metric", $B100,"Date",I$3),0)</f>
        <v>0</v>
      </c>
      <c r="J100" s="23">
        <f>IFERROR(GETPIVOTDATA("Value",Pivot!$B$2,"Metric", $B100,"Date",J$3),0)</f>
        <v>0</v>
      </c>
      <c r="K100" s="15"/>
      <c r="L100" s="15"/>
      <c r="M100" s="15"/>
    </row>
    <row r="101" spans="2:13" outlineLevel="1" x14ac:dyDescent="0.2">
      <c r="B101" s="29" t="s">
        <v>132</v>
      </c>
      <c r="C101" s="40" t="s">
        <v>217</v>
      </c>
      <c r="D101" s="15">
        <v>0</v>
      </c>
      <c r="E101" s="15">
        <v>0</v>
      </c>
      <c r="F101" s="26">
        <v>15734000</v>
      </c>
      <c r="G101" s="15">
        <v>27482000</v>
      </c>
      <c r="H101" s="15">
        <v>48315000</v>
      </c>
      <c r="I101" s="15">
        <v>37897000</v>
      </c>
      <c r="J101" s="15">
        <v>29289000</v>
      </c>
      <c r="K101" s="15"/>
      <c r="L101" s="15"/>
      <c r="M101" s="15"/>
    </row>
    <row r="102" spans="2:13" outlineLevel="1" x14ac:dyDescent="0.2">
      <c r="B102" s="29" t="s">
        <v>132</v>
      </c>
      <c r="C102" s="40" t="s">
        <v>216</v>
      </c>
      <c r="D102" s="15">
        <v>0</v>
      </c>
      <c r="E102" s="15">
        <v>0</v>
      </c>
      <c r="F102" s="26">
        <v>-135244000</v>
      </c>
      <c r="G102" s="15">
        <v>-425164000</v>
      </c>
      <c r="H102" s="15">
        <v>-546242000</v>
      </c>
      <c r="I102" s="15">
        <v>-735413000</v>
      </c>
      <c r="J102" s="15">
        <v>-928726000</v>
      </c>
      <c r="K102" s="15"/>
    </row>
    <row r="103" spans="2:13" outlineLevel="1" x14ac:dyDescent="0.2">
      <c r="C103" s="40" t="s">
        <v>130</v>
      </c>
      <c r="D103" s="25">
        <f>D104-(D97+D98+D99+D100+D101+D102)</f>
        <v>-304361000</v>
      </c>
      <c r="E103" s="25">
        <f t="shared" ref="E103:J103" si="20">E104-(E97+E98+E99+E100+E101+E102)</f>
        <v>-338884000</v>
      </c>
      <c r="F103" s="25">
        <f t="shared" si="20"/>
        <v>702276000</v>
      </c>
      <c r="G103" s="25">
        <f t="shared" si="20"/>
        <v>-89545000</v>
      </c>
      <c r="H103" s="25">
        <f t="shared" si="20"/>
        <v>-104024000</v>
      </c>
      <c r="I103" s="25">
        <f t="shared" si="20"/>
        <v>-172634000</v>
      </c>
      <c r="J103" s="25">
        <f t="shared" si="20"/>
        <v>-226944000</v>
      </c>
      <c r="K103" s="15"/>
    </row>
    <row r="104" spans="2:13" outlineLevel="1" x14ac:dyDescent="0.2">
      <c r="B104" s="16" t="s">
        <v>27</v>
      </c>
      <c r="C104" s="9" t="s">
        <v>92</v>
      </c>
      <c r="D104" s="17">
        <f>IFERROR(GETPIVOTDATA("Value",Pivot!$B$2,"Metric", $B104,"Date",D$3),0)</f>
        <v>-43007000</v>
      </c>
      <c r="E104" s="17">
        <f>IFERROR(GETPIVOTDATA("Value",Pivot!$B$2,"Metric", $B104,"Date",E$3),0)</f>
        <v>-295000</v>
      </c>
      <c r="F104" s="17">
        <f>IFERROR(GETPIVOTDATA("Value",Pivot!$B$2,"Metric", $B104,"Date",F$3),0)</f>
        <v>1348151000</v>
      </c>
      <c r="G104" s="17">
        <f>IFERROR(GETPIVOTDATA("Value",Pivot!$B$2,"Metric", $B104,"Date",G$3),0)</f>
        <v>-217717000</v>
      </c>
      <c r="H104" s="17">
        <f>IFERROR(GETPIVOTDATA("Value",Pivot!$B$2,"Metric", $B104,"Date",H$3),0)</f>
        <v>-795033000</v>
      </c>
      <c r="I104" s="17">
        <f>IFERROR(GETPIVOTDATA("Value",Pivot!$B$2,"Metric", $B104,"Date",I$3),0)</f>
        <v>-313481000</v>
      </c>
      <c r="J104" s="17">
        <f>IFERROR(GETPIVOTDATA("Value",Pivot!$B$2,"Metric", $B104,"Date",J$3),0)</f>
        <v>-943038000</v>
      </c>
      <c r="K104" s="15"/>
      <c r="L104" s="15"/>
      <c r="M104" s="15"/>
    </row>
    <row r="105" spans="2:13" outlineLevel="1" x14ac:dyDescent="0.2">
      <c r="B105" s="16"/>
      <c r="C105" s="7"/>
      <c r="D105" s="17"/>
      <c r="E105" s="17"/>
      <c r="F105" s="17"/>
      <c r="G105" s="17"/>
      <c r="H105" s="17"/>
      <c r="I105" s="17"/>
      <c r="J105" s="17"/>
      <c r="K105" s="15"/>
      <c r="L105" s="15"/>
      <c r="M105" s="15"/>
    </row>
    <row r="106" spans="2:13" outlineLevel="1" x14ac:dyDescent="0.2">
      <c r="C106" s="40" t="s">
        <v>93</v>
      </c>
      <c r="D106" s="23">
        <f t="shared" ref="D106:J106" si="21">D104+D94+D88</f>
        <v>-116000</v>
      </c>
      <c r="E106" s="23">
        <f t="shared" si="21"/>
        <v>4287000</v>
      </c>
      <c r="F106" s="23">
        <f t="shared" si="21"/>
        <v>30937000</v>
      </c>
      <c r="G106" s="23">
        <f t="shared" si="21"/>
        <v>25512000</v>
      </c>
      <c r="H106" s="23">
        <f t="shared" si="21"/>
        <v>36081000</v>
      </c>
      <c r="I106" s="23">
        <f t="shared" si="21"/>
        <v>47929000</v>
      </c>
      <c r="J106" s="23">
        <f t="shared" si="21"/>
        <v>42423000</v>
      </c>
      <c r="K106" s="15"/>
      <c r="L106" s="15"/>
      <c r="M106" s="15"/>
    </row>
    <row r="107" spans="2:13" outlineLevel="1" x14ac:dyDescent="0.2">
      <c r="C107" s="40" t="s">
        <v>94</v>
      </c>
      <c r="D107" s="25"/>
      <c r="E107" s="25">
        <f t="shared" ref="E107:J107" si="22">D49</f>
        <v>0</v>
      </c>
      <c r="F107" s="25">
        <f t="shared" si="22"/>
        <v>11630000</v>
      </c>
      <c r="G107" s="25">
        <f t="shared" si="22"/>
        <v>42567000</v>
      </c>
      <c r="H107" s="25">
        <f t="shared" si="22"/>
        <v>68079000</v>
      </c>
      <c r="I107" s="25">
        <f t="shared" si="22"/>
        <v>104160000</v>
      </c>
      <c r="J107" s="25">
        <f t="shared" si="22"/>
        <v>152089000</v>
      </c>
      <c r="K107" s="15"/>
      <c r="L107" s="15"/>
      <c r="M107" s="15"/>
    </row>
    <row r="108" spans="2:13" outlineLevel="1" x14ac:dyDescent="0.2">
      <c r="C108" s="9" t="s">
        <v>95</v>
      </c>
      <c r="D108" s="17">
        <f>D106+D107</f>
        <v>-116000</v>
      </c>
      <c r="E108" s="17">
        <f t="shared" ref="E108:J108" si="23">E106+E107</f>
        <v>4287000</v>
      </c>
      <c r="F108" s="17">
        <f t="shared" si="23"/>
        <v>42567000</v>
      </c>
      <c r="G108" s="17">
        <f t="shared" si="23"/>
        <v>68079000</v>
      </c>
      <c r="H108" s="17">
        <f t="shared" si="23"/>
        <v>104160000</v>
      </c>
      <c r="I108" s="17">
        <f t="shared" si="23"/>
        <v>152089000</v>
      </c>
      <c r="J108" s="17">
        <f t="shared" si="23"/>
        <v>194512000</v>
      </c>
    </row>
    <row r="109" spans="2:13" outlineLevel="1" x14ac:dyDescent="0.2"/>
    <row r="110" spans="2:13" outlineLevel="1" x14ac:dyDescent="0.2">
      <c r="C110" s="44" t="s">
        <v>122</v>
      </c>
      <c r="D110" s="24">
        <f t="shared" ref="D110:J110" si="24">D108-D49</f>
        <v>-116000</v>
      </c>
      <c r="E110" s="24">
        <f t="shared" si="24"/>
        <v>-7343000</v>
      </c>
      <c r="F110" s="24">
        <f t="shared" si="24"/>
        <v>0</v>
      </c>
      <c r="G110" s="24">
        <f t="shared" si="24"/>
        <v>0</v>
      </c>
      <c r="H110" s="24">
        <f t="shared" si="24"/>
        <v>0</v>
      </c>
      <c r="I110" s="24">
        <f t="shared" si="24"/>
        <v>0</v>
      </c>
      <c r="J110" s="24">
        <f t="shared" si="24"/>
        <v>0</v>
      </c>
    </row>
    <row r="111" spans="2:13" outlineLevel="1" x14ac:dyDescent="0.2">
      <c r="E111" s="36" t="s">
        <v>220</v>
      </c>
    </row>
    <row r="112" spans="2:13" outlineLevel="1" x14ac:dyDescent="0.2"/>
    <row r="113" spans="2:15" outlineLevel="1" x14ac:dyDescent="0.2"/>
    <row r="114" spans="2:15" outlineLevel="2" x14ac:dyDescent="0.2">
      <c r="B114" s="16"/>
      <c r="C114" s="7" t="s">
        <v>162</v>
      </c>
      <c r="D114" s="15"/>
      <c r="E114" s="15"/>
      <c r="F114" s="15">
        <v>139</v>
      </c>
      <c r="G114" s="15">
        <v>140</v>
      </c>
      <c r="H114" s="15">
        <v>141</v>
      </c>
      <c r="I114" s="15">
        <v>150</v>
      </c>
      <c r="J114" s="49">
        <v>155</v>
      </c>
    </row>
    <row r="116" spans="2:15" ht="19" x14ac:dyDescent="0.25">
      <c r="C116" s="51" t="s">
        <v>242</v>
      </c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</row>
    <row r="117" spans="2:15" ht="16" customHeight="1" outlineLevel="1" x14ac:dyDescent="0.2"/>
    <row r="118" spans="2:15" ht="16" customHeight="1" outlineLevel="1" x14ac:dyDescent="0.2">
      <c r="C118" s="13" t="s">
        <v>223</v>
      </c>
    </row>
    <row r="119" spans="2:15" ht="16" customHeight="1" outlineLevel="1" x14ac:dyDescent="0.2">
      <c r="C119" s="6" t="s">
        <v>224</v>
      </c>
      <c r="D119" s="54"/>
      <c r="E119" s="54">
        <f>E61/E45</f>
        <v>-6.0685204420453962</v>
      </c>
      <c r="F119" s="54">
        <f>F61/F45</f>
        <v>-1.4435686728679655</v>
      </c>
      <c r="G119" s="54">
        <f>G61/G45</f>
        <v>6.3860257992500769</v>
      </c>
      <c r="H119" s="54">
        <f>H61/H45</f>
        <v>2.7197637493387603</v>
      </c>
      <c r="I119" s="54">
        <f>I61/I45</f>
        <v>2.9924359518296257</v>
      </c>
      <c r="J119" s="54">
        <f>J61/J45</f>
        <v>4.0780395533867679</v>
      </c>
    </row>
    <row r="120" spans="2:15" ht="16" customHeight="1" outlineLevel="1" x14ac:dyDescent="0.2">
      <c r="C120" s="6" t="s">
        <v>225</v>
      </c>
      <c r="D120" s="54"/>
      <c r="E120" s="54">
        <f>E67/E45</f>
        <v>-0.16631363767943194</v>
      </c>
      <c r="F120" s="54">
        <f>F67/F45</f>
        <v>-2.9738055369090386</v>
      </c>
      <c r="G120" s="54">
        <f>G67/G45</f>
        <v>13.144053673759757</v>
      </c>
      <c r="H120" s="54">
        <f>H67/H45</f>
        <v>5.7261990076954561</v>
      </c>
      <c r="I120" s="54">
        <f>I67/I45</f>
        <v>5.9957873465485489</v>
      </c>
      <c r="J120" s="54">
        <f>J67/J45</f>
        <v>7.8673568023630951</v>
      </c>
    </row>
    <row r="121" spans="2:15" ht="16" customHeight="1" outlineLevel="1" x14ac:dyDescent="0.2">
      <c r="C121" s="6" t="s">
        <v>226</v>
      </c>
      <c r="D121" s="54"/>
      <c r="E121" s="54">
        <f t="shared" ref="E121:J121" si="25">E67/E58</f>
        <v>3.5347553405323182E-2</v>
      </c>
      <c r="F121" s="54">
        <f t="shared" si="25"/>
        <v>0.29260967110463348</v>
      </c>
      <c r="G121" s="54">
        <f t="shared" si="25"/>
        <v>0.3760441691990678</v>
      </c>
      <c r="H121" s="54">
        <f t="shared" si="25"/>
        <v>0.4014336746839085</v>
      </c>
      <c r="I121" s="54">
        <f t="shared" si="25"/>
        <v>0.47181698016915213</v>
      </c>
      <c r="J121" s="54">
        <f t="shared" si="25"/>
        <v>0.51440869049937421</v>
      </c>
    </row>
    <row r="122" spans="2:15" ht="16" customHeight="1" outlineLevel="1" x14ac:dyDescent="0.2">
      <c r="C122" s="6" t="s">
        <v>227</v>
      </c>
      <c r="D122" s="54"/>
      <c r="E122" s="54">
        <f>E67/E74</f>
        <v>0.84739720220395609</v>
      </c>
      <c r="F122" s="54">
        <f t="shared" ref="F122:J122" si="26">F67/F74</f>
        <v>0.41364669426787537</v>
      </c>
      <c r="G122" s="54">
        <f t="shared" si="26"/>
        <v>0.60267754644806182</v>
      </c>
      <c r="H122" s="54">
        <f t="shared" si="26"/>
        <v>0.67065863498404965</v>
      </c>
      <c r="I122" s="54">
        <f t="shared" si="26"/>
        <v>0.89328312811012545</v>
      </c>
      <c r="J122" s="54">
        <f t="shared" si="26"/>
        <v>1.0593449273801538</v>
      </c>
    </row>
    <row r="123" spans="2:15" ht="16" customHeight="1" outlineLevel="1" x14ac:dyDescent="0.2">
      <c r="D123" s="54"/>
      <c r="E123" s="54"/>
      <c r="F123" s="54"/>
      <c r="G123" s="54"/>
      <c r="H123" s="54"/>
      <c r="I123" s="54"/>
      <c r="J123" s="54"/>
    </row>
    <row r="124" spans="2:15" ht="16" customHeight="1" outlineLevel="1" x14ac:dyDescent="0.2">
      <c r="C124" s="13" t="s">
        <v>228</v>
      </c>
      <c r="D124" s="54"/>
      <c r="E124" s="54"/>
      <c r="F124" s="54"/>
      <c r="G124" s="54"/>
      <c r="H124" s="54"/>
      <c r="I124" s="54"/>
      <c r="J124" s="54"/>
    </row>
    <row r="125" spans="2:15" ht="16" customHeight="1" outlineLevel="1" x14ac:dyDescent="0.2">
      <c r="C125" s="6" t="s">
        <v>229</v>
      </c>
      <c r="D125" s="54">
        <f>D45/D34</f>
        <v>-4.1079255478835188</v>
      </c>
      <c r="E125" s="54">
        <f t="shared" ref="E125:J125" si="27">E45/E34</f>
        <v>2.4658632851864293</v>
      </c>
      <c r="F125" s="54">
        <f t="shared" si="27"/>
        <v>29.821374885426213</v>
      </c>
      <c r="G125" s="54">
        <f t="shared" si="27"/>
        <v>-4.2356329493240992</v>
      </c>
      <c r="H125" s="54">
        <f t="shared" si="27"/>
        <v>-8.1663099767491012</v>
      </c>
      <c r="I125" s="54">
        <f t="shared" si="27"/>
        <v>-7.0964362478875085</v>
      </c>
      <c r="J125" s="54">
        <f t="shared" si="27"/>
        <v>-4.978180818906293</v>
      </c>
    </row>
    <row r="126" spans="2:15" ht="16" customHeight="1" outlineLevel="1" x14ac:dyDescent="0.2">
      <c r="C126" s="6" t="s">
        <v>230</v>
      </c>
      <c r="D126" s="54">
        <f>D88/D34</f>
        <v>-6.6142299609726809</v>
      </c>
      <c r="E126" s="54">
        <f t="shared" ref="E126:J126" si="28">E88/E34</f>
        <v>-0.21976822304333221</v>
      </c>
      <c r="F126" s="54">
        <f t="shared" si="28"/>
        <v>-10.32659945004583</v>
      </c>
      <c r="G126" s="54">
        <f t="shared" si="28"/>
        <v>-12.127039355397217</v>
      </c>
      <c r="H126" s="54">
        <f t="shared" si="28"/>
        <v>-12.53890562248996</v>
      </c>
      <c r="I126" s="54">
        <f t="shared" si="28"/>
        <v>-8.2001985331517542</v>
      </c>
      <c r="J126" s="54">
        <f t="shared" si="28"/>
        <v>-7.6701902231992918</v>
      </c>
    </row>
    <row r="127" spans="2:15" ht="16" customHeight="1" outlineLevel="1" x14ac:dyDescent="0.2">
      <c r="D127" s="54"/>
      <c r="E127" s="54"/>
      <c r="F127" s="54"/>
      <c r="G127" s="54"/>
      <c r="H127" s="54"/>
      <c r="I127" s="54"/>
      <c r="J127" s="54"/>
    </row>
    <row r="128" spans="2:15" ht="16" customHeight="1" outlineLevel="1" x14ac:dyDescent="0.2">
      <c r="C128" s="13" t="s">
        <v>231</v>
      </c>
      <c r="D128" s="54"/>
      <c r="E128" s="54"/>
      <c r="F128" s="54"/>
      <c r="G128" s="54"/>
      <c r="H128" s="54"/>
      <c r="I128" s="54"/>
      <c r="J128" s="54"/>
    </row>
    <row r="129" spans="3:10" ht="16" customHeight="1" outlineLevel="1" x14ac:dyDescent="0.2">
      <c r="C129" s="6" t="s">
        <v>232</v>
      </c>
      <c r="D129" s="54"/>
      <c r="E129" s="54"/>
      <c r="F129" s="54"/>
      <c r="G129" s="54"/>
      <c r="H129" s="54"/>
      <c r="I129" s="54"/>
      <c r="J129" s="54"/>
    </row>
    <row r="130" spans="3:10" ht="16" customHeight="1" outlineLevel="1" x14ac:dyDescent="0.2">
      <c r="C130" s="6" t="s">
        <v>233</v>
      </c>
      <c r="D130" s="54"/>
      <c r="E130" s="54"/>
      <c r="F130" s="54"/>
      <c r="G130" s="54"/>
      <c r="H130" s="54"/>
      <c r="I130" s="54"/>
      <c r="J130" s="54"/>
    </row>
    <row r="131" spans="3:10" ht="16" customHeight="1" outlineLevel="1" x14ac:dyDescent="0.2">
      <c r="C131" s="6" t="s">
        <v>234</v>
      </c>
      <c r="D131" s="54"/>
      <c r="E131" s="54"/>
      <c r="F131" s="54"/>
      <c r="G131" s="54"/>
      <c r="H131" s="54"/>
      <c r="I131" s="54"/>
      <c r="J131" s="54"/>
    </row>
    <row r="132" spans="3:10" ht="16" customHeight="1" outlineLevel="1" x14ac:dyDescent="0.2">
      <c r="C132" s="6" t="s">
        <v>235</v>
      </c>
      <c r="D132" s="54"/>
      <c r="E132" s="54"/>
      <c r="F132" s="54"/>
      <c r="G132" s="54"/>
      <c r="H132" s="54"/>
      <c r="I132" s="54"/>
      <c r="J132" s="54"/>
    </row>
    <row r="133" spans="3:10" ht="16" customHeight="1" outlineLevel="1" x14ac:dyDescent="0.2">
      <c r="C133" s="6" t="s">
        <v>236</v>
      </c>
      <c r="D133" s="54"/>
      <c r="E133" s="54"/>
      <c r="F133" s="54"/>
      <c r="G133" s="54"/>
      <c r="H133" s="54"/>
      <c r="I133" s="54"/>
      <c r="J133" s="54"/>
    </row>
    <row r="134" spans="3:10" ht="16" customHeight="1" outlineLevel="1" x14ac:dyDescent="0.2">
      <c r="D134" s="54"/>
      <c r="E134" s="54"/>
      <c r="F134" s="54"/>
      <c r="G134" s="54"/>
      <c r="H134" s="54"/>
      <c r="I134" s="54"/>
      <c r="J134" s="54"/>
    </row>
    <row r="135" spans="3:10" ht="16" customHeight="1" outlineLevel="1" x14ac:dyDescent="0.2">
      <c r="C135" s="13" t="s">
        <v>237</v>
      </c>
      <c r="D135" s="54"/>
      <c r="E135" s="54"/>
      <c r="F135" s="54"/>
      <c r="G135" s="54"/>
      <c r="H135" s="54"/>
      <c r="I135" s="54"/>
      <c r="J135" s="54"/>
    </row>
    <row r="136" spans="3:10" ht="16" customHeight="1" outlineLevel="1" x14ac:dyDescent="0.2">
      <c r="C136" s="6" t="s">
        <v>238</v>
      </c>
      <c r="D136" s="55"/>
      <c r="E136" s="55">
        <f t="shared" ref="E136:J136" si="29">E49/E58</f>
        <v>4.2089464018433782E-2</v>
      </c>
      <c r="F136" s="55">
        <f t="shared" si="29"/>
        <v>5.1494012265076031E-3</v>
      </c>
      <c r="G136" s="55">
        <f t="shared" si="29"/>
        <v>7.6552823404727839E-3</v>
      </c>
      <c r="H136" s="55">
        <f t="shared" si="29"/>
        <v>1.1812710026888204E-2</v>
      </c>
      <c r="I136" s="55">
        <f t="shared" si="29"/>
        <v>1.3835743922885394E-2</v>
      </c>
      <c r="J136" s="55">
        <f t="shared" si="29"/>
        <v>1.5601293712609335E-2</v>
      </c>
    </row>
    <row r="137" spans="3:10" ht="16" customHeight="1" outlineLevel="1" x14ac:dyDescent="0.2">
      <c r="C137" s="6" t="s">
        <v>239</v>
      </c>
      <c r="D137" s="55"/>
      <c r="E137" s="55">
        <f t="shared" ref="E137:J137" si="30">E49/E67</f>
        <v>1.1907320299032436</v>
      </c>
      <c r="F137" s="55">
        <f t="shared" si="30"/>
        <v>1.7598192182329626E-2</v>
      </c>
      <c r="G137" s="55">
        <f t="shared" si="30"/>
        <v>2.0357402048747843E-2</v>
      </c>
      <c r="H137" s="55">
        <f t="shared" si="30"/>
        <v>2.942630569343643E-2</v>
      </c>
      <c r="I137" s="55">
        <f t="shared" si="30"/>
        <v>2.9324387430747216E-2</v>
      </c>
      <c r="J137" s="55">
        <f t="shared" si="30"/>
        <v>3.0328596698986587E-2</v>
      </c>
    </row>
    <row r="138" spans="3:10" ht="16" customHeight="1" outlineLevel="1" x14ac:dyDescent="0.2">
      <c r="D138" s="55"/>
      <c r="E138" s="55"/>
      <c r="F138" s="55"/>
      <c r="G138" s="55"/>
      <c r="H138" s="55"/>
      <c r="I138" s="55"/>
      <c r="J138" s="55"/>
    </row>
    <row r="139" spans="3:10" ht="16" customHeight="1" outlineLevel="1" x14ac:dyDescent="0.2">
      <c r="C139" s="6" t="s">
        <v>240</v>
      </c>
      <c r="D139" s="55"/>
      <c r="E139" s="55"/>
      <c r="F139" s="55"/>
      <c r="G139" s="55"/>
      <c r="H139" s="55"/>
      <c r="I139" s="55"/>
      <c r="J139" s="55"/>
    </row>
    <row r="140" spans="3:10" ht="16" customHeight="1" outlineLevel="1" x14ac:dyDescent="0.2">
      <c r="C140" s="6" t="s">
        <v>241</v>
      </c>
      <c r="D140" s="55"/>
      <c r="E140" s="55"/>
      <c r="F140" s="55"/>
      <c r="G140" s="55"/>
      <c r="H140" s="55"/>
      <c r="I140" s="55"/>
      <c r="J140" s="55"/>
    </row>
  </sheetData>
  <mergeCells count="7">
    <mergeCell ref="C116:O116"/>
    <mergeCell ref="K2:O2"/>
    <mergeCell ref="D2:J2"/>
    <mergeCell ref="C20:O20"/>
    <mergeCell ref="C47:O47"/>
    <mergeCell ref="C80:O80"/>
    <mergeCell ref="C6:O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04B8-5CF9-784E-AE6D-D1FB71AFA611}">
  <dimension ref="B2:I46"/>
  <sheetViews>
    <sheetView showGridLines="0" zoomScale="137" workbookViewId="0">
      <selection activeCell="J8" sqref="J8"/>
    </sheetView>
  </sheetViews>
  <sheetFormatPr baseColWidth="10" defaultRowHeight="16" x14ac:dyDescent="0.2"/>
  <cols>
    <col min="1" max="1" width="3.33203125" customWidth="1"/>
    <col min="2" max="2" width="29.5" bestFit="1" customWidth="1"/>
    <col min="3" max="3" width="16" bestFit="1" customWidth="1"/>
    <col min="4" max="4" width="13.5" bestFit="1" customWidth="1"/>
    <col min="5" max="7" width="15" bestFit="1" customWidth="1"/>
    <col min="8" max="9" width="16" bestFit="1" customWidth="1"/>
    <col min="10" max="10" width="18.6640625" bestFit="1" customWidth="1"/>
    <col min="11" max="11" width="19.6640625" bestFit="1" customWidth="1"/>
  </cols>
  <sheetData>
    <row r="2" spans="2:9" x14ac:dyDescent="0.2">
      <c r="B2" s="1" t="s">
        <v>70</v>
      </c>
      <c r="C2" s="1" t="s">
        <v>69</v>
      </c>
    </row>
    <row r="3" spans="2:9" x14ac:dyDescent="0.2">
      <c r="B3" s="1" t="s">
        <v>68</v>
      </c>
      <c r="C3" t="s">
        <v>9</v>
      </c>
      <c r="D3" t="s">
        <v>10</v>
      </c>
      <c r="E3" t="s">
        <v>11</v>
      </c>
      <c r="F3" t="s">
        <v>4</v>
      </c>
      <c r="G3" t="s">
        <v>5</v>
      </c>
      <c r="H3" t="s">
        <v>6</v>
      </c>
      <c r="I3" t="s">
        <v>7</v>
      </c>
    </row>
    <row r="4" spans="2:9" x14ac:dyDescent="0.2">
      <c r="B4" s="2" t="s">
        <v>13</v>
      </c>
      <c r="C4" s="4"/>
      <c r="D4" s="4">
        <v>276316182</v>
      </c>
      <c r="E4" s="4">
        <v>8266398000</v>
      </c>
      <c r="F4" s="4">
        <v>8893075000</v>
      </c>
      <c r="G4" s="4">
        <v>8817621000</v>
      </c>
      <c r="H4" s="4">
        <v>10992470000</v>
      </c>
      <c r="I4" s="4">
        <v>12467684000</v>
      </c>
    </row>
    <row r="5" spans="2:9" x14ac:dyDescent="0.2">
      <c r="B5" s="2" t="s">
        <v>24</v>
      </c>
      <c r="C5" s="3"/>
      <c r="D5" s="3">
        <v>11630000</v>
      </c>
      <c r="E5" s="3">
        <v>42567000</v>
      </c>
      <c r="F5" s="3">
        <v>68079000</v>
      </c>
      <c r="G5" s="3">
        <v>104160000</v>
      </c>
      <c r="H5" s="3">
        <v>152089000</v>
      </c>
      <c r="I5" s="3">
        <v>194512000</v>
      </c>
    </row>
    <row r="6" spans="2:9" x14ac:dyDescent="0.2">
      <c r="B6" s="2" t="s">
        <v>15</v>
      </c>
      <c r="C6" s="3">
        <v>111773000</v>
      </c>
      <c r="D6" s="3">
        <v>240731000</v>
      </c>
      <c r="E6" s="3">
        <v>1496988000</v>
      </c>
      <c r="F6" s="3">
        <v>894686000</v>
      </c>
      <c r="G6" s="3">
        <v>870642000</v>
      </c>
      <c r="H6" s="3">
        <v>1017483000</v>
      </c>
      <c r="I6" s="3">
        <v>1307040000</v>
      </c>
    </row>
    <row r="7" spans="2:9" x14ac:dyDescent="0.2">
      <c r="B7" s="2" t="s">
        <v>17</v>
      </c>
      <c r="C7" s="3">
        <v>0</v>
      </c>
      <c r="D7" s="3">
        <v>0</v>
      </c>
      <c r="E7" s="3">
        <v>113889000</v>
      </c>
      <c r="F7" s="3">
        <v>256909000</v>
      </c>
      <c r="G7" s="3">
        <v>300341000</v>
      </c>
      <c r="H7" s="3">
        <v>258256000</v>
      </c>
      <c r="I7" s="3">
        <v>358952000</v>
      </c>
    </row>
    <row r="8" spans="2:9" x14ac:dyDescent="0.2">
      <c r="B8" s="2" t="s">
        <v>27</v>
      </c>
      <c r="C8" s="3">
        <v>-43007000</v>
      </c>
      <c r="D8" s="3">
        <v>-295000</v>
      </c>
      <c r="E8" s="3">
        <v>1348151000</v>
      </c>
      <c r="F8" s="3">
        <v>-217717000</v>
      </c>
      <c r="G8" s="3">
        <v>-795033000</v>
      </c>
      <c r="H8" s="3">
        <v>-313481000</v>
      </c>
      <c r="I8" s="3">
        <v>-943038000</v>
      </c>
    </row>
    <row r="9" spans="2:9" x14ac:dyDescent="0.2">
      <c r="B9" s="2" t="s">
        <v>16</v>
      </c>
      <c r="C9" s="3">
        <v>51710000</v>
      </c>
      <c r="D9" s="3">
        <v>67811000</v>
      </c>
      <c r="E9" s="3">
        <v>140268000</v>
      </c>
      <c r="F9" s="3">
        <v>220610000</v>
      </c>
      <c r="G9" s="3">
        <v>242809000</v>
      </c>
      <c r="H9" s="3">
        <v>412931000</v>
      </c>
      <c r="I9" s="3">
        <v>747936000</v>
      </c>
    </row>
    <row r="10" spans="2:9" x14ac:dyDescent="0.2">
      <c r="B10" s="2" t="s">
        <v>19</v>
      </c>
      <c r="C10" s="3">
        <v>240000</v>
      </c>
      <c r="D10" s="3">
        <v>-102000</v>
      </c>
      <c r="E10" s="3">
        <v>-65211000</v>
      </c>
      <c r="F10" s="3">
        <v>-9380000</v>
      </c>
      <c r="G10" s="3">
        <v>25608000</v>
      </c>
      <c r="H10" s="3">
        <v>48782000</v>
      </c>
      <c r="I10" s="3">
        <v>42424000</v>
      </c>
    </row>
    <row r="11" spans="2:9" x14ac:dyDescent="0.2">
      <c r="B11" s="2" t="s">
        <v>18</v>
      </c>
      <c r="C11" s="3">
        <v>6662000</v>
      </c>
      <c r="D11" s="3">
        <v>23816000</v>
      </c>
      <c r="E11" s="3">
        <v>27275000</v>
      </c>
      <c r="F11" s="3">
        <v>55711000</v>
      </c>
      <c r="G11" s="3">
        <v>75696000</v>
      </c>
      <c r="H11" s="3"/>
      <c r="I11" s="3"/>
    </row>
    <row r="12" spans="2:9" x14ac:dyDescent="0.2">
      <c r="B12" s="2" t="s">
        <v>26</v>
      </c>
      <c r="C12" s="3">
        <v>-1173000</v>
      </c>
      <c r="D12" s="3">
        <v>-652000</v>
      </c>
      <c r="E12" s="3">
        <v>-1598872000</v>
      </c>
      <c r="F12" s="3">
        <v>-485218000</v>
      </c>
      <c r="G12" s="3">
        <v>-118031000</v>
      </c>
      <c r="H12" s="3">
        <v>-638145000</v>
      </c>
      <c r="I12" s="3">
        <v>-270571000</v>
      </c>
    </row>
    <row r="13" spans="2:9" x14ac:dyDescent="0.2">
      <c r="B13" s="2" t="s">
        <v>20</v>
      </c>
      <c r="C13" s="3"/>
      <c r="D13" s="3">
        <v>9767101</v>
      </c>
      <c r="E13" s="3">
        <v>2418828000</v>
      </c>
      <c r="F13" s="3">
        <v>3344189000</v>
      </c>
      <c r="G13" s="3">
        <v>3539690000</v>
      </c>
      <c r="H13" s="3">
        <v>5186434000</v>
      </c>
      <c r="I13" s="3">
        <v>6413485000</v>
      </c>
    </row>
    <row r="14" spans="2:9" x14ac:dyDescent="0.2">
      <c r="B14" s="2" t="s">
        <v>21</v>
      </c>
      <c r="C14" s="3"/>
      <c r="D14" s="3">
        <v>356386000</v>
      </c>
      <c r="E14" s="3">
        <v>1174167000</v>
      </c>
      <c r="F14" s="3">
        <v>1624771000</v>
      </c>
      <c r="G14" s="3">
        <v>1681241000</v>
      </c>
      <c r="H14" s="3">
        <v>2588496000</v>
      </c>
      <c r="I14" s="3">
        <v>3324426000</v>
      </c>
    </row>
    <row r="15" spans="2:9" x14ac:dyDescent="0.2">
      <c r="B15" s="2" t="s">
        <v>8</v>
      </c>
      <c r="C15" s="3">
        <v>22958000</v>
      </c>
      <c r="D15" s="3">
        <v>-77831000</v>
      </c>
      <c r="E15" s="3">
        <v>-376171000</v>
      </c>
      <c r="F15" s="3">
        <v>-9289000</v>
      </c>
      <c r="G15" s="3">
        <v>54343000</v>
      </c>
      <c r="H15" s="3">
        <v>109584000</v>
      </c>
      <c r="I15" s="3">
        <v>78833000</v>
      </c>
    </row>
    <row r="16" spans="2:9" x14ac:dyDescent="0.2">
      <c r="B16" s="2" t="s">
        <v>25</v>
      </c>
      <c r="C16" s="3">
        <v>44064000</v>
      </c>
      <c r="D16" s="3">
        <v>5234000</v>
      </c>
      <c r="E16" s="3">
        <v>281658000</v>
      </c>
      <c r="F16" s="3">
        <v>728447000</v>
      </c>
      <c r="G16" s="3">
        <v>949145000</v>
      </c>
      <c r="H16" s="3">
        <v>999555000</v>
      </c>
      <c r="I16" s="3">
        <v>1256032000</v>
      </c>
    </row>
    <row r="17" spans="2:9" x14ac:dyDescent="0.2">
      <c r="B17" s="2" t="s">
        <v>12</v>
      </c>
      <c r="C17" s="3"/>
      <c r="D17" s="3">
        <v>-299659</v>
      </c>
      <c r="E17" s="3"/>
      <c r="F17" s="3"/>
      <c r="G17" s="3"/>
      <c r="H17" s="3"/>
      <c r="I17" s="3"/>
    </row>
    <row r="18" spans="2:9" x14ac:dyDescent="0.2">
      <c r="B18" s="2" t="s">
        <v>22</v>
      </c>
      <c r="C18" s="3"/>
      <c r="D18" s="3">
        <v>5000001</v>
      </c>
      <c r="E18" s="3">
        <v>1663567000</v>
      </c>
      <c r="F18" s="3">
        <v>1604698000</v>
      </c>
      <c r="G18" s="3">
        <v>1528239000</v>
      </c>
      <c r="H18" s="3">
        <v>2127758000</v>
      </c>
      <c r="I18" s="3">
        <v>2205362000</v>
      </c>
    </row>
    <row r="19" spans="2:9" x14ac:dyDescent="0.2">
      <c r="B19" s="2" t="s">
        <v>72</v>
      </c>
      <c r="C19" s="4">
        <v>190850000</v>
      </c>
      <c r="D19" s="4">
        <v>249815000</v>
      </c>
      <c r="E19" s="4">
        <v>823878000</v>
      </c>
      <c r="F19" s="4">
        <v>1369722000</v>
      </c>
      <c r="G19" s="4">
        <v>1731608000</v>
      </c>
      <c r="H19" s="4">
        <v>2295427000</v>
      </c>
      <c r="I19" s="4">
        <v>2870178000</v>
      </c>
    </row>
    <row r="20" spans="2:9" x14ac:dyDescent="0.2">
      <c r="B20" s="2" t="s">
        <v>106</v>
      </c>
      <c r="D20" s="3">
        <v>6526000</v>
      </c>
      <c r="E20" s="3">
        <v>4184003000</v>
      </c>
      <c r="F20" s="3">
        <v>3944188000</v>
      </c>
      <c r="G20" s="3">
        <v>3749692000</v>
      </c>
      <c r="H20" s="3">
        <v>3678278000</v>
      </c>
      <c r="I20" s="3">
        <v>3848837000</v>
      </c>
    </row>
    <row r="21" spans="2:9" x14ac:dyDescent="0.2">
      <c r="B21" s="2" t="s">
        <v>111</v>
      </c>
      <c r="C21">
        <v>0</v>
      </c>
      <c r="D21" s="3">
        <v>0</v>
      </c>
      <c r="E21" s="3">
        <v>1205336000</v>
      </c>
      <c r="F21" s="3">
        <v>420832000</v>
      </c>
      <c r="G21" s="3">
        <v>312564000</v>
      </c>
      <c r="H21" s="3">
        <v>312609000</v>
      </c>
      <c r="I21" s="3">
        <v>673524000</v>
      </c>
    </row>
    <row r="22" spans="2:9" x14ac:dyDescent="0.2">
      <c r="B22" s="2" t="s">
        <v>112</v>
      </c>
      <c r="C22">
        <v>83590000</v>
      </c>
      <c r="D22" s="3">
        <v>171458000</v>
      </c>
      <c r="E22" s="3">
        <v>577835000</v>
      </c>
      <c r="F22" s="3">
        <v>323000000</v>
      </c>
      <c r="G22" s="3">
        <v>1000000000</v>
      </c>
      <c r="H22" s="3">
        <v>1245000000</v>
      </c>
      <c r="I22" s="3">
        <v>1540000000</v>
      </c>
    </row>
    <row r="23" spans="2:9" x14ac:dyDescent="0.2">
      <c r="B23" s="2" t="s">
        <v>113</v>
      </c>
      <c r="C23">
        <v>0</v>
      </c>
      <c r="D23" s="3">
        <v>0</v>
      </c>
      <c r="E23" s="3">
        <v>47076000</v>
      </c>
      <c r="F23" s="3">
        <v>182550000</v>
      </c>
      <c r="G23" s="3">
        <v>247882000</v>
      </c>
      <c r="H23" s="3">
        <v>368331000</v>
      </c>
      <c r="I23" s="3">
        <v>546657000</v>
      </c>
    </row>
    <row r="24" spans="2:9" x14ac:dyDescent="0.2">
      <c r="B24" s="2" t="s">
        <v>114</v>
      </c>
      <c r="D24" s="3"/>
      <c r="E24" s="3">
        <v>-1.34</v>
      </c>
      <c r="F24" s="3">
        <v>-0.02</v>
      </c>
      <c r="G24" s="3">
        <v>0.1</v>
      </c>
      <c r="H24" s="3">
        <v>0.2</v>
      </c>
      <c r="I24" s="3">
        <v>0.1</v>
      </c>
    </row>
    <row r="25" spans="2:9" x14ac:dyDescent="0.2">
      <c r="B25" s="2" t="s">
        <v>117</v>
      </c>
      <c r="C25">
        <v>344944000</v>
      </c>
      <c r="D25" s="3">
        <v>240547000</v>
      </c>
      <c r="E25" s="3">
        <v>1390296000</v>
      </c>
      <c r="F25" s="3">
        <v>775060000</v>
      </c>
      <c r="G25" s="3">
        <v>1054800000</v>
      </c>
      <c r="H25" s="3">
        <v>2170000000</v>
      </c>
      <c r="I25" s="3">
        <v>2270000000</v>
      </c>
    </row>
    <row r="26" spans="2:9" x14ac:dyDescent="0.2">
      <c r="B26" s="2" t="s">
        <v>118</v>
      </c>
      <c r="D26" s="3">
        <v>269500000</v>
      </c>
      <c r="E26" s="3"/>
      <c r="F26" s="3"/>
      <c r="G26" s="3"/>
      <c r="H26" s="3"/>
      <c r="I26" s="3"/>
    </row>
    <row r="27" spans="2:9" x14ac:dyDescent="0.2">
      <c r="B27" s="2" t="s">
        <v>119</v>
      </c>
      <c r="D27" s="3"/>
      <c r="E27" s="3"/>
      <c r="F27" s="3">
        <v>1300000000</v>
      </c>
      <c r="G27" s="3">
        <v>1400000000</v>
      </c>
      <c r="H27" s="3">
        <v>2500000000</v>
      </c>
      <c r="I27" s="3">
        <v>3200000000</v>
      </c>
    </row>
    <row r="28" spans="2:9" x14ac:dyDescent="0.2">
      <c r="B28" s="2" t="s">
        <v>125</v>
      </c>
      <c r="C28">
        <v>20465000</v>
      </c>
      <c r="D28" s="3">
        <v>-82441000</v>
      </c>
      <c r="E28" s="3">
        <v>-1802266000</v>
      </c>
      <c r="F28" s="3">
        <v>-40235000</v>
      </c>
      <c r="G28" s="3">
        <v>220776000</v>
      </c>
      <c r="H28" s="3">
        <v>420446000</v>
      </c>
      <c r="I28" s="3">
        <v>305487000</v>
      </c>
    </row>
    <row r="29" spans="2:9" x14ac:dyDescent="0.2">
      <c r="B29" s="2" t="s">
        <v>126</v>
      </c>
      <c r="C29">
        <v>829000</v>
      </c>
      <c r="D29" s="3">
        <v>673000</v>
      </c>
      <c r="E29" s="3">
        <v>665000</v>
      </c>
      <c r="F29" s="3">
        <v>2304000</v>
      </c>
      <c r="G29" s="3">
        <v>10226000</v>
      </c>
      <c r="H29" s="3">
        <v>16660000</v>
      </c>
      <c r="I29" s="3">
        <v>23446000</v>
      </c>
    </row>
    <row r="30" spans="2:9" x14ac:dyDescent="0.2">
      <c r="B30" s="2" t="s">
        <v>127</v>
      </c>
      <c r="D30" s="3">
        <v>3356000</v>
      </c>
      <c r="E30" s="3">
        <v>7951000</v>
      </c>
      <c r="F30" s="3">
        <v>71190000</v>
      </c>
      <c r="G30" s="3">
        <v>134893000</v>
      </c>
      <c r="H30" s="3">
        <v>187749000</v>
      </c>
      <c r="I30" s="3">
        <v>218941000</v>
      </c>
    </row>
    <row r="31" spans="2:9" x14ac:dyDescent="0.2">
      <c r="B31" s="2" t="s">
        <v>133</v>
      </c>
      <c r="D31" s="3"/>
      <c r="E31" s="3">
        <v>387000</v>
      </c>
      <c r="F31" s="3">
        <v>4357000</v>
      </c>
      <c r="G31" s="3">
        <v>22176000</v>
      </c>
      <c r="H31" s="3">
        <v>42172000</v>
      </c>
      <c r="I31" s="3">
        <v>45184000</v>
      </c>
    </row>
    <row r="32" spans="2:9" x14ac:dyDescent="0.2">
      <c r="B32" s="2" t="s">
        <v>134</v>
      </c>
      <c r="C32">
        <v>0</v>
      </c>
      <c r="D32" s="3">
        <v>0</v>
      </c>
      <c r="E32" s="3">
        <v>-3526000</v>
      </c>
      <c r="F32" s="3">
        <v>-132000</v>
      </c>
      <c r="G32" s="3">
        <v>4203000</v>
      </c>
      <c r="H32" s="3">
        <v>1713000</v>
      </c>
      <c r="I32" s="3">
        <v>-7105000</v>
      </c>
    </row>
    <row r="33" spans="2:9" x14ac:dyDescent="0.2">
      <c r="B33" s="2" t="s">
        <v>145</v>
      </c>
      <c r="D33" s="3">
        <v>2678000</v>
      </c>
      <c r="E33" s="3">
        <v>12143000</v>
      </c>
      <c r="F33" s="3">
        <v>317231000</v>
      </c>
      <c r="G33" s="3">
        <v>344265000</v>
      </c>
      <c r="H33" s="3">
        <v>486945000</v>
      </c>
      <c r="I33" s="3">
        <v>484389000</v>
      </c>
    </row>
    <row r="34" spans="2:9" x14ac:dyDescent="0.2">
      <c r="B34" s="2" t="s">
        <v>143</v>
      </c>
      <c r="D34" s="3">
        <v>92698000</v>
      </c>
      <c r="E34" s="3">
        <v>224576000</v>
      </c>
      <c r="F34" s="3">
        <v>357921000</v>
      </c>
      <c r="G34" s="3"/>
      <c r="H34" s="3"/>
      <c r="I34" s="3"/>
    </row>
    <row r="35" spans="2:9" x14ac:dyDescent="0.2">
      <c r="B35" s="2" t="s">
        <v>146</v>
      </c>
      <c r="D35" s="3">
        <v>0</v>
      </c>
      <c r="E35" s="3">
        <v>4132245000</v>
      </c>
      <c r="F35" s="3">
        <v>4205159000</v>
      </c>
      <c r="G35" s="3">
        <v>4224153000</v>
      </c>
      <c r="H35" s="3">
        <v>4699465000</v>
      </c>
      <c r="I35" s="3">
        <v>5624469000</v>
      </c>
    </row>
    <row r="36" spans="2:9" x14ac:dyDescent="0.2">
      <c r="B36" s="2" t="s">
        <v>147</v>
      </c>
      <c r="D36" s="3">
        <v>16469000</v>
      </c>
      <c r="E36" s="3">
        <v>38620000</v>
      </c>
      <c r="F36" s="3">
        <v>99679000</v>
      </c>
      <c r="G36" s="3">
        <v>187455000</v>
      </c>
      <c r="H36" s="3">
        <v>258748000</v>
      </c>
      <c r="I36" s="3">
        <v>382519000</v>
      </c>
    </row>
    <row r="37" spans="2:9" x14ac:dyDescent="0.2">
      <c r="B37" s="2" t="s">
        <v>148</v>
      </c>
      <c r="D37" s="3">
        <v>0</v>
      </c>
      <c r="E37" s="3">
        <v>2611411000</v>
      </c>
      <c r="F37" s="3">
        <v>2405422000</v>
      </c>
      <c r="G37" s="3">
        <v>2110008000</v>
      </c>
      <c r="H37" s="3">
        <v>2902752000</v>
      </c>
      <c r="I37" s="3">
        <v>2888800000</v>
      </c>
    </row>
    <row r="38" spans="2:9" x14ac:dyDescent="0.2">
      <c r="B38" s="2" t="s">
        <v>152</v>
      </c>
      <c r="D38" s="3">
        <v>207957000</v>
      </c>
      <c r="E38" s="3">
        <v>155606000</v>
      </c>
      <c r="F38" s="3">
        <v>309644000</v>
      </c>
      <c r="G38" s="3">
        <v>370726000</v>
      </c>
      <c r="H38" s="3">
        <v>424024000</v>
      </c>
      <c r="I38" s="3">
        <v>525550000</v>
      </c>
    </row>
    <row r="39" spans="2:9" x14ac:dyDescent="0.2">
      <c r="B39" s="2" t="s">
        <v>153</v>
      </c>
      <c r="D39" s="3">
        <v>58415000</v>
      </c>
      <c r="E39" s="3">
        <v>68339000</v>
      </c>
      <c r="F39" s="3">
        <v>126559000</v>
      </c>
      <c r="G39" s="3">
        <v>138754000</v>
      </c>
      <c r="H39" s="3">
        <v>165953000</v>
      </c>
      <c r="I39" s="3">
        <v>163000000</v>
      </c>
    </row>
    <row r="40" spans="2:9" x14ac:dyDescent="0.2">
      <c r="B40" s="2" t="s">
        <v>154</v>
      </c>
      <c r="D40" s="3">
        <v>0</v>
      </c>
      <c r="E40" s="3">
        <v>48962000</v>
      </c>
      <c r="F40" s="3">
        <v>41791000</v>
      </c>
      <c r="G40" s="3">
        <v>34419000</v>
      </c>
      <c r="H40" s="3">
        <v>36867000</v>
      </c>
      <c r="I40" s="3">
        <v>39663000</v>
      </c>
    </row>
    <row r="41" spans="2:9" x14ac:dyDescent="0.2">
      <c r="B41" s="2" t="s">
        <v>155</v>
      </c>
      <c r="D41" s="3">
        <v>5260809</v>
      </c>
      <c r="E41" s="3">
        <v>2160934000</v>
      </c>
      <c r="F41" s="3">
        <v>2293903000</v>
      </c>
      <c r="G41" s="3">
        <v>2410982000</v>
      </c>
      <c r="H41" s="3">
        <v>3269239000</v>
      </c>
      <c r="I41" s="3">
        <v>3812770000</v>
      </c>
    </row>
    <row r="42" spans="2:9" x14ac:dyDescent="0.2">
      <c r="B42" s="2" t="s">
        <v>156</v>
      </c>
      <c r="D42" s="3">
        <v>-261631</v>
      </c>
      <c r="E42" s="3">
        <v>-497506000</v>
      </c>
      <c r="F42" s="3">
        <v>-689345000</v>
      </c>
      <c r="G42" s="3">
        <v>-882884000</v>
      </c>
      <c r="H42" s="3">
        <v>-1141631000</v>
      </c>
      <c r="I42" s="3">
        <v>-1609455000</v>
      </c>
    </row>
    <row r="43" spans="2:9" x14ac:dyDescent="0.2">
      <c r="B43" s="2" t="s">
        <v>176</v>
      </c>
      <c r="D43" s="3">
        <v>0</v>
      </c>
      <c r="E43" s="3">
        <v>86033000</v>
      </c>
      <c r="F43" s="3">
        <v>224411000</v>
      </c>
      <c r="G43" s="3">
        <v>281669000</v>
      </c>
      <c r="H43" s="3">
        <v>325090000</v>
      </c>
      <c r="I43" s="3">
        <v>456204000</v>
      </c>
    </row>
    <row r="44" spans="2:9" x14ac:dyDescent="0.2">
      <c r="B44" s="2" t="s">
        <v>179</v>
      </c>
      <c r="D44" s="3">
        <v>0</v>
      </c>
      <c r="E44" s="3">
        <v>88480000</v>
      </c>
      <c r="F44" s="3">
        <v>239844000</v>
      </c>
      <c r="G44" s="3">
        <v>319532000</v>
      </c>
      <c r="H44" s="3">
        <v>390353000</v>
      </c>
      <c r="I44" s="3">
        <v>538147000</v>
      </c>
    </row>
    <row r="45" spans="2:9" x14ac:dyDescent="0.2">
      <c r="B45" s="2" t="s">
        <v>207</v>
      </c>
      <c r="C45">
        <v>1173000</v>
      </c>
      <c r="D45" s="3">
        <v>652000</v>
      </c>
      <c r="E45" s="3">
        <v>5261000</v>
      </c>
      <c r="F45" s="3">
        <v>65539000</v>
      </c>
      <c r="G45" s="3">
        <v>67905000</v>
      </c>
      <c r="H45" s="3">
        <v>64187000</v>
      </c>
      <c r="I45" s="3">
        <v>57748000</v>
      </c>
    </row>
    <row r="46" spans="2:9" x14ac:dyDescent="0.2">
      <c r="B46" s="2" t="s">
        <v>213</v>
      </c>
      <c r="C46">
        <v>0</v>
      </c>
      <c r="D46" s="3">
        <v>0</v>
      </c>
      <c r="E46" s="3">
        <v>1578866000</v>
      </c>
      <c r="F46" s="3">
        <v>114454000</v>
      </c>
      <c r="G46" s="3">
        <v>26265000</v>
      </c>
      <c r="H46" s="3">
        <v>445210000</v>
      </c>
      <c r="I46" s="3">
        <v>244580000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512-497D-9047-80CF-6C24CA2E5C01}">
  <dimension ref="A1:C263"/>
  <sheetViews>
    <sheetView workbookViewId="0">
      <selection activeCell="E83" sqref="E83"/>
    </sheetView>
  </sheetViews>
  <sheetFormatPr baseColWidth="10" defaultRowHeight="16" x14ac:dyDescent="0.2"/>
  <cols>
    <col min="1" max="1" width="29.5" bestFit="1" customWidth="1"/>
    <col min="2" max="2" width="10.5" bestFit="1" customWidth="1"/>
    <col min="3" max="3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72</v>
      </c>
      <c r="B2" t="s">
        <v>9</v>
      </c>
      <c r="C2">
        <v>190850000</v>
      </c>
    </row>
    <row r="3" spans="1:3" x14ac:dyDescent="0.2">
      <c r="A3" t="s">
        <v>72</v>
      </c>
      <c r="B3" t="s">
        <v>10</v>
      </c>
      <c r="C3">
        <v>249815000</v>
      </c>
    </row>
    <row r="4" spans="1:3" x14ac:dyDescent="0.2">
      <c r="A4" t="s">
        <v>72</v>
      </c>
      <c r="B4" t="s">
        <v>11</v>
      </c>
      <c r="C4">
        <v>823878000</v>
      </c>
    </row>
    <row r="5" spans="1:3" x14ac:dyDescent="0.2">
      <c r="A5" t="s">
        <v>72</v>
      </c>
      <c r="B5" t="s">
        <v>4</v>
      </c>
      <c r="C5">
        <v>1369722000</v>
      </c>
    </row>
    <row r="6" spans="1:3" x14ac:dyDescent="0.2">
      <c r="A6" t="s">
        <v>72</v>
      </c>
      <c r="B6" t="s">
        <v>5</v>
      </c>
      <c r="C6">
        <v>1731608000</v>
      </c>
    </row>
    <row r="7" spans="1:3" x14ac:dyDescent="0.2">
      <c r="A7" t="s">
        <v>72</v>
      </c>
      <c r="B7" t="s">
        <v>6</v>
      </c>
      <c r="C7">
        <v>2295427000</v>
      </c>
    </row>
    <row r="8" spans="1:3" x14ac:dyDescent="0.2">
      <c r="A8" t="s">
        <v>72</v>
      </c>
      <c r="B8" t="s">
        <v>7</v>
      </c>
      <c r="C8">
        <v>2870178000</v>
      </c>
    </row>
    <row r="9" spans="1:3" x14ac:dyDescent="0.2">
      <c r="A9" t="s">
        <v>8</v>
      </c>
      <c r="B9" t="s">
        <v>9</v>
      </c>
      <c r="C9">
        <v>22958000</v>
      </c>
    </row>
    <row r="10" spans="1:3" x14ac:dyDescent="0.2">
      <c r="A10" t="s">
        <v>8</v>
      </c>
      <c r="B10" t="s">
        <v>10</v>
      </c>
      <c r="C10">
        <v>-77831000</v>
      </c>
    </row>
    <row r="11" spans="1:3" x14ac:dyDescent="0.2">
      <c r="A11" t="s">
        <v>8</v>
      </c>
      <c r="B11" t="s">
        <v>11</v>
      </c>
      <c r="C11">
        <v>-376171000</v>
      </c>
    </row>
    <row r="12" spans="1:3" x14ac:dyDescent="0.2">
      <c r="A12" t="s">
        <v>8</v>
      </c>
      <c r="B12" t="s">
        <v>4</v>
      </c>
      <c r="C12">
        <v>-9289000</v>
      </c>
    </row>
    <row r="13" spans="1:3" x14ac:dyDescent="0.2">
      <c r="A13" t="s">
        <v>8</v>
      </c>
      <c r="B13" t="s">
        <v>5</v>
      </c>
      <c r="C13">
        <v>54343000</v>
      </c>
    </row>
    <row r="14" spans="1:3" x14ac:dyDescent="0.2">
      <c r="A14" t="s">
        <v>8</v>
      </c>
      <c r="B14" t="s">
        <v>6</v>
      </c>
      <c r="C14">
        <v>109584000</v>
      </c>
    </row>
    <row r="15" spans="1:3" x14ac:dyDescent="0.2">
      <c r="A15" t="s">
        <v>8</v>
      </c>
      <c r="B15" t="s">
        <v>7</v>
      </c>
      <c r="C15">
        <v>78833000</v>
      </c>
    </row>
    <row r="16" spans="1:3" x14ac:dyDescent="0.2">
      <c r="A16" t="s">
        <v>12</v>
      </c>
      <c r="B16" t="s">
        <v>10</v>
      </c>
      <c r="C16">
        <v>-299659</v>
      </c>
    </row>
    <row r="17" spans="1:3" x14ac:dyDescent="0.2">
      <c r="A17" t="s">
        <v>15</v>
      </c>
      <c r="B17" t="s">
        <v>9</v>
      </c>
      <c r="C17">
        <v>111773000</v>
      </c>
    </row>
    <row r="18" spans="1:3" x14ac:dyDescent="0.2">
      <c r="A18" t="s">
        <v>15</v>
      </c>
      <c r="B18" t="s">
        <v>10</v>
      </c>
      <c r="C18">
        <v>240731000</v>
      </c>
    </row>
    <row r="19" spans="1:3" x14ac:dyDescent="0.2">
      <c r="A19" t="s">
        <v>15</v>
      </c>
      <c r="B19" t="s">
        <v>11</v>
      </c>
      <c r="C19">
        <v>1496988000</v>
      </c>
    </row>
    <row r="20" spans="1:3" x14ac:dyDescent="0.2">
      <c r="A20" t="s">
        <v>15</v>
      </c>
      <c r="B20" t="s">
        <v>4</v>
      </c>
      <c r="C20">
        <v>894686000</v>
      </c>
    </row>
    <row r="21" spans="1:3" x14ac:dyDescent="0.2">
      <c r="A21" t="s">
        <v>15</v>
      </c>
      <c r="B21" t="s">
        <v>5</v>
      </c>
      <c r="C21">
        <v>870642000</v>
      </c>
    </row>
    <row r="22" spans="1:3" x14ac:dyDescent="0.2">
      <c r="A22" t="s">
        <v>15</v>
      </c>
      <c r="B22" t="s">
        <v>6</v>
      </c>
      <c r="C22">
        <v>1017483000</v>
      </c>
    </row>
    <row r="23" spans="1:3" x14ac:dyDescent="0.2">
      <c r="A23" t="s">
        <v>15</v>
      </c>
      <c r="B23" t="s">
        <v>7</v>
      </c>
      <c r="C23">
        <v>1307040000</v>
      </c>
    </row>
    <row r="24" spans="1:3" x14ac:dyDescent="0.2">
      <c r="A24" t="s">
        <v>16</v>
      </c>
      <c r="B24" t="s">
        <v>9</v>
      </c>
      <c r="C24">
        <v>51710000</v>
      </c>
    </row>
    <row r="25" spans="1:3" x14ac:dyDescent="0.2">
      <c r="A25" t="s">
        <v>16</v>
      </c>
      <c r="B25" t="s">
        <v>10</v>
      </c>
      <c r="C25">
        <v>67811000</v>
      </c>
    </row>
    <row r="26" spans="1:3" x14ac:dyDescent="0.2">
      <c r="A26" t="s">
        <v>16</v>
      </c>
      <c r="B26" t="s">
        <v>11</v>
      </c>
      <c r="C26">
        <v>140268000</v>
      </c>
    </row>
    <row r="27" spans="1:3" x14ac:dyDescent="0.2">
      <c r="A27" t="s">
        <v>16</v>
      </c>
      <c r="B27" t="s">
        <v>4</v>
      </c>
      <c r="C27">
        <v>220610000</v>
      </c>
    </row>
    <row r="28" spans="1:3" x14ac:dyDescent="0.2">
      <c r="A28" t="s">
        <v>16</v>
      </c>
      <c r="B28" t="s">
        <v>5</v>
      </c>
      <c r="C28">
        <v>242809000</v>
      </c>
    </row>
    <row r="29" spans="1:3" x14ac:dyDescent="0.2">
      <c r="A29" t="s">
        <v>16</v>
      </c>
      <c r="B29" t="s">
        <v>6</v>
      </c>
      <c r="C29">
        <v>412931000</v>
      </c>
    </row>
    <row r="30" spans="1:3" x14ac:dyDescent="0.2">
      <c r="A30" t="s">
        <v>16</v>
      </c>
      <c r="B30" t="s">
        <v>7</v>
      </c>
      <c r="C30">
        <v>747936000</v>
      </c>
    </row>
    <row r="31" spans="1:3" x14ac:dyDescent="0.2">
      <c r="A31" t="s">
        <v>17</v>
      </c>
      <c r="B31" t="s">
        <v>9</v>
      </c>
      <c r="C31">
        <v>0</v>
      </c>
    </row>
    <row r="32" spans="1:3" x14ac:dyDescent="0.2">
      <c r="A32" t="s">
        <v>17</v>
      </c>
      <c r="B32" t="s">
        <v>10</v>
      </c>
      <c r="C32">
        <v>0</v>
      </c>
    </row>
    <row r="33" spans="1:3" x14ac:dyDescent="0.2">
      <c r="A33" t="s">
        <v>17</v>
      </c>
      <c r="B33" t="s">
        <v>11</v>
      </c>
      <c r="C33">
        <v>113889000</v>
      </c>
    </row>
    <row r="34" spans="1:3" x14ac:dyDescent="0.2">
      <c r="A34" t="s">
        <v>17</v>
      </c>
      <c r="B34" t="s">
        <v>4</v>
      </c>
      <c r="C34">
        <v>256909000</v>
      </c>
    </row>
    <row r="35" spans="1:3" x14ac:dyDescent="0.2">
      <c r="A35" t="s">
        <v>17</v>
      </c>
      <c r="B35" t="s">
        <v>5</v>
      </c>
      <c r="C35">
        <v>300341000</v>
      </c>
    </row>
    <row r="36" spans="1:3" x14ac:dyDescent="0.2">
      <c r="A36" t="s">
        <v>17</v>
      </c>
      <c r="B36" t="s">
        <v>6</v>
      </c>
      <c r="C36">
        <v>258256000</v>
      </c>
    </row>
    <row r="37" spans="1:3" x14ac:dyDescent="0.2">
      <c r="A37" t="s">
        <v>17</v>
      </c>
      <c r="B37" t="s">
        <v>7</v>
      </c>
      <c r="C37">
        <v>358952000</v>
      </c>
    </row>
    <row r="38" spans="1:3" x14ac:dyDescent="0.2">
      <c r="A38" t="s">
        <v>18</v>
      </c>
      <c r="B38" t="s">
        <v>9</v>
      </c>
      <c r="C38">
        <v>6662000</v>
      </c>
    </row>
    <row r="39" spans="1:3" x14ac:dyDescent="0.2">
      <c r="A39" t="s">
        <v>18</v>
      </c>
      <c r="B39" t="s">
        <v>10</v>
      </c>
      <c r="C39">
        <v>23816000</v>
      </c>
    </row>
    <row r="40" spans="1:3" x14ac:dyDescent="0.2">
      <c r="A40" t="s">
        <v>18</v>
      </c>
      <c r="B40" t="s">
        <v>11</v>
      </c>
      <c r="C40">
        <v>27275000</v>
      </c>
    </row>
    <row r="41" spans="1:3" x14ac:dyDescent="0.2">
      <c r="A41" t="s">
        <v>18</v>
      </c>
      <c r="B41" t="s">
        <v>4</v>
      </c>
      <c r="C41">
        <v>55711000</v>
      </c>
    </row>
    <row r="42" spans="1:3" x14ac:dyDescent="0.2">
      <c r="A42" t="s">
        <v>18</v>
      </c>
      <c r="B42" t="s">
        <v>5</v>
      </c>
      <c r="C42">
        <v>75696000</v>
      </c>
    </row>
    <row r="43" spans="1:3" x14ac:dyDescent="0.2">
      <c r="A43" t="s">
        <v>19</v>
      </c>
      <c r="B43" t="s">
        <v>9</v>
      </c>
      <c r="C43">
        <v>240000</v>
      </c>
    </row>
    <row r="44" spans="1:3" x14ac:dyDescent="0.2">
      <c r="A44" t="s">
        <v>19</v>
      </c>
      <c r="B44" t="s">
        <v>10</v>
      </c>
      <c r="C44">
        <v>-102000</v>
      </c>
    </row>
    <row r="45" spans="1:3" x14ac:dyDescent="0.2">
      <c r="A45" t="s">
        <v>19</v>
      </c>
      <c r="B45" t="s">
        <v>11</v>
      </c>
      <c r="C45">
        <v>-65211000</v>
      </c>
    </row>
    <row r="46" spans="1:3" x14ac:dyDescent="0.2">
      <c r="A46" t="s">
        <v>19</v>
      </c>
      <c r="B46" t="s">
        <v>4</v>
      </c>
      <c r="C46">
        <v>-9380000</v>
      </c>
    </row>
    <row r="47" spans="1:3" x14ac:dyDescent="0.2">
      <c r="A47" t="s">
        <v>19</v>
      </c>
      <c r="B47" t="s">
        <v>5</v>
      </c>
      <c r="C47">
        <v>25608000</v>
      </c>
    </row>
    <row r="48" spans="1:3" x14ac:dyDescent="0.2">
      <c r="A48" t="s">
        <v>19</v>
      </c>
      <c r="B48" t="s">
        <v>6</v>
      </c>
      <c r="C48">
        <v>48782000</v>
      </c>
    </row>
    <row r="49" spans="1:3" x14ac:dyDescent="0.2">
      <c r="A49" t="s">
        <v>19</v>
      </c>
      <c r="B49" t="s">
        <v>7</v>
      </c>
      <c r="C49">
        <v>42424000</v>
      </c>
    </row>
    <row r="50" spans="1:3" x14ac:dyDescent="0.2">
      <c r="A50" t="s">
        <v>13</v>
      </c>
      <c r="B50" t="s">
        <v>10</v>
      </c>
      <c r="C50">
        <v>276316182</v>
      </c>
    </row>
    <row r="51" spans="1:3" x14ac:dyDescent="0.2">
      <c r="A51" t="s">
        <v>13</v>
      </c>
      <c r="B51" t="s">
        <v>11</v>
      </c>
      <c r="C51">
        <v>8266398000</v>
      </c>
    </row>
    <row r="52" spans="1:3" x14ac:dyDescent="0.2">
      <c r="A52" t="s">
        <v>13</v>
      </c>
      <c r="B52" t="s">
        <v>4</v>
      </c>
      <c r="C52">
        <v>8893075000</v>
      </c>
    </row>
    <row r="53" spans="1:3" x14ac:dyDescent="0.2">
      <c r="A53" t="s">
        <v>13</v>
      </c>
      <c r="B53" t="s">
        <v>5</v>
      </c>
      <c r="C53">
        <v>8817621000</v>
      </c>
    </row>
    <row r="54" spans="1:3" x14ac:dyDescent="0.2">
      <c r="A54" t="s">
        <v>13</v>
      </c>
      <c r="B54" t="s">
        <v>6</v>
      </c>
      <c r="C54">
        <v>10992470000</v>
      </c>
    </row>
    <row r="55" spans="1:3" x14ac:dyDescent="0.2">
      <c r="A55" t="s">
        <v>13</v>
      </c>
      <c r="B55" t="s">
        <v>7</v>
      </c>
      <c r="C55">
        <v>12467684000</v>
      </c>
    </row>
    <row r="56" spans="1:3" x14ac:dyDescent="0.2">
      <c r="A56" t="s">
        <v>20</v>
      </c>
      <c r="B56" t="s">
        <v>10</v>
      </c>
      <c r="C56">
        <v>9767101</v>
      </c>
    </row>
    <row r="57" spans="1:3" x14ac:dyDescent="0.2">
      <c r="A57" t="s">
        <v>20</v>
      </c>
      <c r="B57" t="s">
        <v>11</v>
      </c>
      <c r="C57">
        <v>2418828000</v>
      </c>
    </row>
    <row r="58" spans="1:3" x14ac:dyDescent="0.2">
      <c r="A58" t="s">
        <v>20</v>
      </c>
      <c r="B58" t="s">
        <v>4</v>
      </c>
      <c r="C58">
        <v>3344189000</v>
      </c>
    </row>
    <row r="59" spans="1:3" x14ac:dyDescent="0.2">
      <c r="A59" t="s">
        <v>20</v>
      </c>
      <c r="B59" t="s">
        <v>5</v>
      </c>
      <c r="C59">
        <v>3539690000</v>
      </c>
    </row>
    <row r="60" spans="1:3" x14ac:dyDescent="0.2">
      <c r="A60" t="s">
        <v>20</v>
      </c>
      <c r="B60" t="s">
        <v>6</v>
      </c>
      <c r="C60">
        <v>5186434000</v>
      </c>
    </row>
    <row r="61" spans="1:3" x14ac:dyDescent="0.2">
      <c r="A61" t="s">
        <v>20</v>
      </c>
      <c r="B61" t="s">
        <v>7</v>
      </c>
      <c r="C61">
        <v>6413485000</v>
      </c>
    </row>
    <row r="62" spans="1:3" x14ac:dyDescent="0.2">
      <c r="A62" t="s">
        <v>21</v>
      </c>
      <c r="B62" t="s">
        <v>10</v>
      </c>
      <c r="C62">
        <v>356386000</v>
      </c>
    </row>
    <row r="63" spans="1:3" x14ac:dyDescent="0.2">
      <c r="A63" t="s">
        <v>21</v>
      </c>
      <c r="B63" t="s">
        <v>11</v>
      </c>
      <c r="C63">
        <v>1174167000</v>
      </c>
    </row>
    <row r="64" spans="1:3" x14ac:dyDescent="0.2">
      <c r="A64" t="s">
        <v>21</v>
      </c>
      <c r="B64" t="s">
        <v>4</v>
      </c>
      <c r="C64">
        <v>1624771000</v>
      </c>
    </row>
    <row r="65" spans="1:3" x14ac:dyDescent="0.2">
      <c r="A65" t="s">
        <v>21</v>
      </c>
      <c r="B65" t="s">
        <v>5</v>
      </c>
      <c r="C65">
        <v>1681241000</v>
      </c>
    </row>
    <row r="66" spans="1:3" x14ac:dyDescent="0.2">
      <c r="A66" t="s">
        <v>21</v>
      </c>
      <c r="B66" t="s">
        <v>6</v>
      </c>
      <c r="C66">
        <v>2588496000</v>
      </c>
    </row>
    <row r="67" spans="1:3" x14ac:dyDescent="0.2">
      <c r="A67" t="s">
        <v>21</v>
      </c>
      <c r="B67" t="s">
        <v>7</v>
      </c>
      <c r="C67">
        <v>3324426000</v>
      </c>
    </row>
    <row r="68" spans="1:3" x14ac:dyDescent="0.2">
      <c r="A68" t="s">
        <v>22</v>
      </c>
      <c r="B68" t="s">
        <v>23</v>
      </c>
      <c r="C68">
        <v>0</v>
      </c>
    </row>
    <row r="69" spans="1:3" x14ac:dyDescent="0.2">
      <c r="A69" t="s">
        <v>22</v>
      </c>
      <c r="B69" t="s">
        <v>10</v>
      </c>
      <c r="C69">
        <v>5000001</v>
      </c>
    </row>
    <row r="70" spans="1:3" x14ac:dyDescent="0.2">
      <c r="A70" t="s">
        <v>22</v>
      </c>
      <c r="B70" t="s">
        <v>11</v>
      </c>
      <c r="C70">
        <v>1663567000</v>
      </c>
    </row>
    <row r="71" spans="1:3" x14ac:dyDescent="0.2">
      <c r="A71" t="s">
        <v>22</v>
      </c>
      <c r="B71" t="s">
        <v>4</v>
      </c>
      <c r="C71">
        <v>1604698000</v>
      </c>
    </row>
    <row r="72" spans="1:3" x14ac:dyDescent="0.2">
      <c r="A72" t="s">
        <v>22</v>
      </c>
      <c r="B72" t="s">
        <v>5</v>
      </c>
      <c r="C72">
        <v>1528239000</v>
      </c>
    </row>
    <row r="73" spans="1:3" x14ac:dyDescent="0.2">
      <c r="A73" t="s">
        <v>22</v>
      </c>
      <c r="B73" t="s">
        <v>6</v>
      </c>
      <c r="C73">
        <v>2127758000</v>
      </c>
    </row>
    <row r="74" spans="1:3" x14ac:dyDescent="0.2">
      <c r="A74" t="s">
        <v>22</v>
      </c>
      <c r="B74" t="s">
        <v>7</v>
      </c>
      <c r="C74">
        <v>2205362000</v>
      </c>
    </row>
    <row r="75" spans="1:3" x14ac:dyDescent="0.2">
      <c r="A75" t="s">
        <v>24</v>
      </c>
      <c r="B75" t="s">
        <v>10</v>
      </c>
      <c r="C75">
        <v>11630000</v>
      </c>
    </row>
    <row r="76" spans="1:3" x14ac:dyDescent="0.2">
      <c r="A76" t="s">
        <v>24</v>
      </c>
      <c r="B76" t="s">
        <v>11</v>
      </c>
      <c r="C76">
        <v>42567000</v>
      </c>
    </row>
    <row r="77" spans="1:3" x14ac:dyDescent="0.2">
      <c r="A77" t="s">
        <v>24</v>
      </c>
      <c r="B77" t="s">
        <v>4</v>
      </c>
      <c r="C77">
        <v>68079000</v>
      </c>
    </row>
    <row r="78" spans="1:3" x14ac:dyDescent="0.2">
      <c r="A78" t="s">
        <v>24</v>
      </c>
      <c r="B78" t="s">
        <v>5</v>
      </c>
      <c r="C78">
        <v>104160000</v>
      </c>
    </row>
    <row r="79" spans="1:3" x14ac:dyDescent="0.2">
      <c r="A79" t="s">
        <v>24</v>
      </c>
      <c r="B79" t="s">
        <v>6</v>
      </c>
      <c r="C79">
        <v>152089000</v>
      </c>
    </row>
    <row r="80" spans="1:3" x14ac:dyDescent="0.2">
      <c r="A80" t="s">
        <v>24</v>
      </c>
      <c r="B80" t="s">
        <v>7</v>
      </c>
      <c r="C80">
        <v>194512000</v>
      </c>
    </row>
    <row r="81" spans="1:3" x14ac:dyDescent="0.2">
      <c r="A81" t="s">
        <v>25</v>
      </c>
      <c r="B81" t="s">
        <v>9</v>
      </c>
      <c r="C81">
        <v>44064000</v>
      </c>
    </row>
    <row r="82" spans="1:3" x14ac:dyDescent="0.2">
      <c r="A82" t="s">
        <v>25</v>
      </c>
      <c r="B82" t="s">
        <v>10</v>
      </c>
      <c r="C82">
        <v>5234000</v>
      </c>
    </row>
    <row r="83" spans="1:3" x14ac:dyDescent="0.2">
      <c r="A83" t="s">
        <v>25</v>
      </c>
      <c r="B83" t="s">
        <v>11</v>
      </c>
      <c r="C83">
        <v>281658000</v>
      </c>
    </row>
    <row r="84" spans="1:3" x14ac:dyDescent="0.2">
      <c r="A84" t="s">
        <v>25</v>
      </c>
      <c r="B84" t="s">
        <v>4</v>
      </c>
      <c r="C84">
        <v>728447000</v>
      </c>
    </row>
    <row r="85" spans="1:3" x14ac:dyDescent="0.2">
      <c r="A85" t="s">
        <v>25</v>
      </c>
      <c r="B85" t="s">
        <v>5</v>
      </c>
      <c r="C85">
        <v>949145000</v>
      </c>
    </row>
    <row r="86" spans="1:3" x14ac:dyDescent="0.2">
      <c r="A86" t="s">
        <v>25</v>
      </c>
      <c r="B86" t="s">
        <v>6</v>
      </c>
      <c r="C86">
        <v>999555000</v>
      </c>
    </row>
    <row r="87" spans="1:3" x14ac:dyDescent="0.2">
      <c r="A87" t="s">
        <v>25</v>
      </c>
      <c r="B87" t="s">
        <v>7</v>
      </c>
      <c r="C87">
        <v>1256032000</v>
      </c>
    </row>
    <row r="88" spans="1:3" x14ac:dyDescent="0.2">
      <c r="A88" t="s">
        <v>26</v>
      </c>
      <c r="B88" t="s">
        <v>9</v>
      </c>
      <c r="C88">
        <v>-1173000</v>
      </c>
    </row>
    <row r="89" spans="1:3" x14ac:dyDescent="0.2">
      <c r="A89" t="s">
        <v>26</v>
      </c>
      <c r="B89" t="s">
        <v>10</v>
      </c>
      <c r="C89">
        <v>-652000</v>
      </c>
    </row>
    <row r="90" spans="1:3" x14ac:dyDescent="0.2">
      <c r="A90" t="s">
        <v>26</v>
      </c>
      <c r="B90" t="s">
        <v>11</v>
      </c>
      <c r="C90">
        <v>-1598872000</v>
      </c>
    </row>
    <row r="91" spans="1:3" x14ac:dyDescent="0.2">
      <c r="A91" t="s">
        <v>26</v>
      </c>
      <c r="B91" t="s">
        <v>4</v>
      </c>
      <c r="C91">
        <v>-485218000</v>
      </c>
    </row>
    <row r="92" spans="1:3" x14ac:dyDescent="0.2">
      <c r="A92" t="s">
        <v>26</v>
      </c>
      <c r="B92" t="s">
        <v>5</v>
      </c>
      <c r="C92">
        <v>-118031000</v>
      </c>
    </row>
    <row r="93" spans="1:3" x14ac:dyDescent="0.2">
      <c r="A93" t="s">
        <v>26</v>
      </c>
      <c r="B93" t="s">
        <v>6</v>
      </c>
      <c r="C93">
        <v>-638145000</v>
      </c>
    </row>
    <row r="94" spans="1:3" x14ac:dyDescent="0.2">
      <c r="A94" t="s">
        <v>26</v>
      </c>
      <c r="B94" t="s">
        <v>7</v>
      </c>
      <c r="C94">
        <v>-270571000</v>
      </c>
    </row>
    <row r="95" spans="1:3" x14ac:dyDescent="0.2">
      <c r="A95" t="s">
        <v>27</v>
      </c>
      <c r="B95" t="s">
        <v>9</v>
      </c>
      <c r="C95">
        <v>-43007000</v>
      </c>
    </row>
    <row r="96" spans="1:3" x14ac:dyDescent="0.2">
      <c r="A96" t="s">
        <v>27</v>
      </c>
      <c r="B96" t="s">
        <v>10</v>
      </c>
      <c r="C96">
        <v>-295000</v>
      </c>
    </row>
    <row r="97" spans="1:3" x14ac:dyDescent="0.2">
      <c r="A97" t="s">
        <v>27</v>
      </c>
      <c r="B97" t="s">
        <v>11</v>
      </c>
      <c r="C97">
        <v>1348151000</v>
      </c>
    </row>
    <row r="98" spans="1:3" x14ac:dyDescent="0.2">
      <c r="A98" t="s">
        <v>27</v>
      </c>
      <c r="B98" t="s">
        <v>4</v>
      </c>
      <c r="C98">
        <v>-217717000</v>
      </c>
    </row>
    <row r="99" spans="1:3" x14ac:dyDescent="0.2">
      <c r="A99" t="s">
        <v>27</v>
      </c>
      <c r="B99" t="s">
        <v>5</v>
      </c>
      <c r="C99">
        <v>-795033000</v>
      </c>
    </row>
    <row r="100" spans="1:3" x14ac:dyDescent="0.2">
      <c r="A100" t="s">
        <v>27</v>
      </c>
      <c r="B100" t="s">
        <v>6</v>
      </c>
      <c r="C100">
        <v>-313481000</v>
      </c>
    </row>
    <row r="101" spans="1:3" x14ac:dyDescent="0.2">
      <c r="A101" t="s">
        <v>27</v>
      </c>
      <c r="B101" t="s">
        <v>7</v>
      </c>
      <c r="C101">
        <v>-943038000</v>
      </c>
    </row>
    <row r="102" spans="1:3" x14ac:dyDescent="0.2">
      <c r="A102" t="s">
        <v>106</v>
      </c>
      <c r="B102" t="s">
        <v>10</v>
      </c>
      <c r="C102">
        <v>6526000</v>
      </c>
    </row>
    <row r="103" spans="1:3" x14ac:dyDescent="0.2">
      <c r="A103" t="s">
        <v>106</v>
      </c>
      <c r="B103" t="s">
        <v>11</v>
      </c>
      <c r="C103">
        <v>4184003000</v>
      </c>
    </row>
    <row r="104" spans="1:3" x14ac:dyDescent="0.2">
      <c r="A104" t="s">
        <v>106</v>
      </c>
      <c r="B104" t="s">
        <v>4</v>
      </c>
      <c r="C104">
        <v>3944188000</v>
      </c>
    </row>
    <row r="105" spans="1:3" x14ac:dyDescent="0.2">
      <c r="A105" t="s">
        <v>106</v>
      </c>
      <c r="B105" t="s">
        <v>5</v>
      </c>
      <c r="C105">
        <v>3749692000</v>
      </c>
    </row>
    <row r="106" spans="1:3" x14ac:dyDescent="0.2">
      <c r="A106" t="s">
        <v>106</v>
      </c>
      <c r="B106" t="s">
        <v>6</v>
      </c>
      <c r="C106">
        <v>3678278000</v>
      </c>
    </row>
    <row r="107" spans="1:3" x14ac:dyDescent="0.2">
      <c r="A107" t="s">
        <v>106</v>
      </c>
      <c r="B107" t="s">
        <v>7</v>
      </c>
      <c r="C107">
        <v>3848837000</v>
      </c>
    </row>
    <row r="108" spans="1:3" x14ac:dyDescent="0.2">
      <c r="A108" t="s">
        <v>111</v>
      </c>
      <c r="B108" t="s">
        <v>9</v>
      </c>
      <c r="C108">
        <v>0</v>
      </c>
    </row>
    <row r="109" spans="1:3" x14ac:dyDescent="0.2">
      <c r="A109" t="s">
        <v>111</v>
      </c>
      <c r="B109" t="s">
        <v>10</v>
      </c>
      <c r="C109">
        <v>0</v>
      </c>
    </row>
    <row r="110" spans="1:3" x14ac:dyDescent="0.2">
      <c r="A110" t="s">
        <v>111</v>
      </c>
      <c r="B110" t="s">
        <v>11</v>
      </c>
      <c r="C110">
        <v>1205336000</v>
      </c>
    </row>
    <row r="111" spans="1:3" x14ac:dyDescent="0.2">
      <c r="A111" t="s">
        <v>111</v>
      </c>
      <c r="B111" t="s">
        <v>4</v>
      </c>
      <c r="C111">
        <v>420832000</v>
      </c>
    </row>
    <row r="112" spans="1:3" x14ac:dyDescent="0.2">
      <c r="A112" t="s">
        <v>111</v>
      </c>
      <c r="B112" t="s">
        <v>5</v>
      </c>
      <c r="C112">
        <v>312564000</v>
      </c>
    </row>
    <row r="113" spans="1:3" x14ac:dyDescent="0.2">
      <c r="A113" t="s">
        <v>111</v>
      </c>
      <c r="B113" t="s">
        <v>6</v>
      </c>
      <c r="C113">
        <v>312609000</v>
      </c>
    </row>
    <row r="114" spans="1:3" x14ac:dyDescent="0.2">
      <c r="A114" t="s">
        <v>111</v>
      </c>
      <c r="B114" t="s">
        <v>7</v>
      </c>
      <c r="C114">
        <v>673524000</v>
      </c>
    </row>
    <row r="115" spans="1:3" x14ac:dyDescent="0.2">
      <c r="A115" t="s">
        <v>112</v>
      </c>
      <c r="B115" t="s">
        <v>9</v>
      </c>
      <c r="C115">
        <v>83590000</v>
      </c>
    </row>
    <row r="116" spans="1:3" x14ac:dyDescent="0.2">
      <c r="A116" t="s">
        <v>112</v>
      </c>
      <c r="B116" t="s">
        <v>10</v>
      </c>
      <c r="C116">
        <v>171458000</v>
      </c>
    </row>
    <row r="117" spans="1:3" x14ac:dyDescent="0.2">
      <c r="A117" t="s">
        <v>112</v>
      </c>
      <c r="B117" t="s">
        <v>11</v>
      </c>
      <c r="C117">
        <v>577835000</v>
      </c>
    </row>
    <row r="118" spans="1:3" x14ac:dyDescent="0.2">
      <c r="A118" t="s">
        <v>112</v>
      </c>
      <c r="B118" t="s">
        <v>4</v>
      </c>
      <c r="C118">
        <v>323000000</v>
      </c>
    </row>
    <row r="119" spans="1:3" x14ac:dyDescent="0.2">
      <c r="A119" t="s">
        <v>112</v>
      </c>
      <c r="B119" t="s">
        <v>5</v>
      </c>
      <c r="C119">
        <v>1000000000</v>
      </c>
    </row>
    <row r="120" spans="1:3" x14ac:dyDescent="0.2">
      <c r="A120" t="s">
        <v>112</v>
      </c>
      <c r="B120" t="s">
        <v>6</v>
      </c>
      <c r="C120">
        <v>1245000000</v>
      </c>
    </row>
    <row r="121" spans="1:3" x14ac:dyDescent="0.2">
      <c r="A121" t="s">
        <v>112</v>
      </c>
      <c r="B121" t="s">
        <v>7</v>
      </c>
      <c r="C121">
        <v>1540000000</v>
      </c>
    </row>
    <row r="122" spans="1:3" x14ac:dyDescent="0.2">
      <c r="A122" t="s">
        <v>113</v>
      </c>
      <c r="B122" t="s">
        <v>9</v>
      </c>
      <c r="C122">
        <v>0</v>
      </c>
    </row>
    <row r="123" spans="1:3" x14ac:dyDescent="0.2">
      <c r="A123" t="s">
        <v>113</v>
      </c>
      <c r="B123" t="s">
        <v>10</v>
      </c>
      <c r="C123">
        <v>0</v>
      </c>
    </row>
    <row r="124" spans="1:3" x14ac:dyDescent="0.2">
      <c r="A124" t="s">
        <v>113</v>
      </c>
      <c r="B124" t="s">
        <v>11</v>
      </c>
      <c r="C124">
        <v>47076000</v>
      </c>
    </row>
    <row r="125" spans="1:3" x14ac:dyDescent="0.2">
      <c r="A125" t="s">
        <v>113</v>
      </c>
      <c r="B125" t="s">
        <v>4</v>
      </c>
      <c r="C125">
        <v>182550000</v>
      </c>
    </row>
    <row r="126" spans="1:3" x14ac:dyDescent="0.2">
      <c r="A126" t="s">
        <v>113</v>
      </c>
      <c r="B126" t="s">
        <v>5</v>
      </c>
      <c r="C126">
        <v>247882000</v>
      </c>
    </row>
    <row r="127" spans="1:3" x14ac:dyDescent="0.2">
      <c r="A127" t="s">
        <v>113</v>
      </c>
      <c r="B127" t="s">
        <v>6</v>
      </c>
      <c r="C127">
        <v>368331000</v>
      </c>
    </row>
    <row r="128" spans="1:3" x14ac:dyDescent="0.2">
      <c r="A128" t="s">
        <v>113</v>
      </c>
      <c r="B128" t="s">
        <v>7</v>
      </c>
      <c r="C128">
        <v>546657000</v>
      </c>
    </row>
    <row r="129" spans="1:3" x14ac:dyDescent="0.2">
      <c r="A129" t="s">
        <v>114</v>
      </c>
      <c r="B129" t="s">
        <v>11</v>
      </c>
      <c r="C129">
        <v>-1.34</v>
      </c>
    </row>
    <row r="130" spans="1:3" x14ac:dyDescent="0.2">
      <c r="A130" t="s">
        <v>114</v>
      </c>
      <c r="B130" t="s">
        <v>4</v>
      </c>
      <c r="C130">
        <v>-0.02</v>
      </c>
    </row>
    <row r="131" spans="1:3" x14ac:dyDescent="0.2">
      <c r="A131" t="s">
        <v>114</v>
      </c>
      <c r="B131" t="s">
        <v>5</v>
      </c>
      <c r="C131">
        <v>0.1</v>
      </c>
    </row>
    <row r="132" spans="1:3" x14ac:dyDescent="0.2">
      <c r="A132" t="s">
        <v>114</v>
      </c>
      <c r="B132" t="s">
        <v>6</v>
      </c>
      <c r="C132">
        <v>0.2</v>
      </c>
    </row>
    <row r="133" spans="1:3" x14ac:dyDescent="0.2">
      <c r="A133" t="s">
        <v>114</v>
      </c>
      <c r="B133" t="s">
        <v>7</v>
      </c>
      <c r="C133">
        <v>0.1</v>
      </c>
    </row>
    <row r="134" spans="1:3" x14ac:dyDescent="0.2">
      <c r="A134" t="s">
        <v>115</v>
      </c>
      <c r="B134" t="s">
        <v>116</v>
      </c>
      <c r="C134">
        <v>6875000</v>
      </c>
    </row>
    <row r="135" spans="1:3" x14ac:dyDescent="0.2">
      <c r="A135" t="s">
        <v>117</v>
      </c>
      <c r="B135" t="s">
        <v>9</v>
      </c>
      <c r="C135">
        <v>344944000</v>
      </c>
    </row>
    <row r="136" spans="1:3" x14ac:dyDescent="0.2">
      <c r="A136" t="s">
        <v>117</v>
      </c>
      <c r="B136" t="s">
        <v>10</v>
      </c>
      <c r="C136">
        <v>240547000</v>
      </c>
    </row>
    <row r="137" spans="1:3" x14ac:dyDescent="0.2">
      <c r="A137" t="s">
        <v>117</v>
      </c>
      <c r="B137" t="s">
        <v>11</v>
      </c>
      <c r="C137">
        <v>1390296000</v>
      </c>
    </row>
    <row r="138" spans="1:3" x14ac:dyDescent="0.2">
      <c r="A138" t="s">
        <v>117</v>
      </c>
      <c r="B138" t="s">
        <v>4</v>
      </c>
      <c r="C138">
        <v>775060000</v>
      </c>
    </row>
    <row r="139" spans="1:3" x14ac:dyDescent="0.2">
      <c r="A139" t="s">
        <v>117</v>
      </c>
      <c r="B139" t="s">
        <v>5</v>
      </c>
      <c r="C139">
        <v>1054800000</v>
      </c>
    </row>
    <row r="140" spans="1:3" x14ac:dyDescent="0.2">
      <c r="A140" t="s">
        <v>117</v>
      </c>
      <c r="B140" t="s">
        <v>6</v>
      </c>
      <c r="C140">
        <v>2170000000</v>
      </c>
    </row>
    <row r="141" spans="1:3" x14ac:dyDescent="0.2">
      <c r="A141" t="s">
        <v>117</v>
      </c>
      <c r="B141" t="s">
        <v>7</v>
      </c>
      <c r="C141">
        <v>2270000000</v>
      </c>
    </row>
    <row r="142" spans="1:3" x14ac:dyDescent="0.2">
      <c r="A142" t="s">
        <v>118</v>
      </c>
      <c r="B142" t="s">
        <v>10</v>
      </c>
      <c r="C142">
        <v>269500000</v>
      </c>
    </row>
    <row r="143" spans="1:3" x14ac:dyDescent="0.2">
      <c r="A143" t="s">
        <v>119</v>
      </c>
      <c r="B143" t="s">
        <v>4</v>
      </c>
      <c r="C143">
        <v>1300000000</v>
      </c>
    </row>
    <row r="144" spans="1:3" x14ac:dyDescent="0.2">
      <c r="A144" t="s">
        <v>119</v>
      </c>
      <c r="B144" t="s">
        <v>5</v>
      </c>
      <c r="C144">
        <v>1400000000</v>
      </c>
    </row>
    <row r="145" spans="1:3" x14ac:dyDescent="0.2">
      <c r="A145" t="s">
        <v>119</v>
      </c>
      <c r="B145" t="s">
        <v>6</v>
      </c>
      <c r="C145">
        <v>2500000000</v>
      </c>
    </row>
    <row r="146" spans="1:3" x14ac:dyDescent="0.2">
      <c r="A146" t="s">
        <v>119</v>
      </c>
      <c r="B146" t="s">
        <v>7</v>
      </c>
      <c r="C146">
        <v>3200000000</v>
      </c>
    </row>
    <row r="147" spans="1:3" x14ac:dyDescent="0.2">
      <c r="A147" t="s">
        <v>125</v>
      </c>
      <c r="B147" t="s">
        <v>9</v>
      </c>
      <c r="C147">
        <v>20465000</v>
      </c>
    </row>
    <row r="148" spans="1:3" x14ac:dyDescent="0.2">
      <c r="A148" t="s">
        <v>125</v>
      </c>
      <c r="B148" t="s">
        <v>10</v>
      </c>
      <c r="C148">
        <v>-82441000</v>
      </c>
    </row>
    <row r="149" spans="1:3" x14ac:dyDescent="0.2">
      <c r="A149" t="s">
        <v>125</v>
      </c>
      <c r="B149" t="s">
        <v>11</v>
      </c>
      <c r="C149">
        <v>-1802266000</v>
      </c>
    </row>
    <row r="150" spans="1:3" x14ac:dyDescent="0.2">
      <c r="A150" t="s">
        <v>125</v>
      </c>
      <c r="B150" t="s">
        <v>4</v>
      </c>
      <c r="C150">
        <v>-40235000</v>
      </c>
    </row>
    <row r="151" spans="1:3" x14ac:dyDescent="0.2">
      <c r="A151" t="s">
        <v>125</v>
      </c>
      <c r="B151" t="s">
        <v>5</v>
      </c>
      <c r="C151">
        <v>220776000</v>
      </c>
    </row>
    <row r="152" spans="1:3" x14ac:dyDescent="0.2">
      <c r="A152" t="s">
        <v>125</v>
      </c>
      <c r="B152" t="s">
        <v>6</v>
      </c>
      <c r="C152">
        <v>420446000</v>
      </c>
    </row>
    <row r="153" spans="1:3" x14ac:dyDescent="0.2">
      <c r="A153" t="s">
        <v>125</v>
      </c>
      <c r="B153" t="s">
        <v>7</v>
      </c>
      <c r="C153">
        <v>305487000</v>
      </c>
    </row>
    <row r="154" spans="1:3" x14ac:dyDescent="0.2">
      <c r="A154" t="s">
        <v>126</v>
      </c>
      <c r="B154" t="s">
        <v>9</v>
      </c>
      <c r="C154">
        <v>829000</v>
      </c>
    </row>
    <row r="155" spans="1:3" x14ac:dyDescent="0.2">
      <c r="A155" t="s">
        <v>126</v>
      </c>
      <c r="B155" t="s">
        <v>10</v>
      </c>
      <c r="C155">
        <v>673000</v>
      </c>
    </row>
    <row r="156" spans="1:3" x14ac:dyDescent="0.2">
      <c r="A156" t="s">
        <v>126</v>
      </c>
      <c r="B156" t="s">
        <v>11</v>
      </c>
      <c r="C156">
        <v>665000</v>
      </c>
    </row>
    <row r="157" spans="1:3" x14ac:dyDescent="0.2">
      <c r="A157" t="s">
        <v>126</v>
      </c>
      <c r="B157" t="s">
        <v>4</v>
      </c>
      <c r="C157">
        <v>2304000</v>
      </c>
    </row>
    <row r="158" spans="1:3" x14ac:dyDescent="0.2">
      <c r="A158" t="s">
        <v>126</v>
      </c>
      <c r="B158" t="s">
        <v>5</v>
      </c>
      <c r="C158">
        <v>10226000</v>
      </c>
    </row>
    <row r="159" spans="1:3" x14ac:dyDescent="0.2">
      <c r="A159" t="s">
        <v>126</v>
      </c>
      <c r="B159" t="s">
        <v>6</v>
      </c>
      <c r="C159">
        <v>16660000</v>
      </c>
    </row>
    <row r="160" spans="1:3" x14ac:dyDescent="0.2">
      <c r="A160" t="s">
        <v>126</v>
      </c>
      <c r="B160" t="s">
        <v>7</v>
      </c>
      <c r="C160">
        <v>23446000</v>
      </c>
    </row>
    <row r="161" spans="1:3" x14ac:dyDescent="0.2">
      <c r="A161" t="s">
        <v>127</v>
      </c>
      <c r="B161" t="s">
        <v>10</v>
      </c>
      <c r="C161">
        <v>3356000</v>
      </c>
    </row>
    <row r="162" spans="1:3" x14ac:dyDescent="0.2">
      <c r="A162" t="s">
        <v>127</v>
      </c>
      <c r="B162" t="s">
        <v>11</v>
      </c>
      <c r="C162">
        <v>7951000</v>
      </c>
    </row>
    <row r="163" spans="1:3" x14ac:dyDescent="0.2">
      <c r="A163" t="s">
        <v>127</v>
      </c>
      <c r="B163" t="s">
        <v>4</v>
      </c>
      <c r="C163">
        <v>71190000</v>
      </c>
    </row>
    <row r="164" spans="1:3" x14ac:dyDescent="0.2">
      <c r="A164" t="s">
        <v>127</v>
      </c>
      <c r="B164" t="s">
        <v>5</v>
      </c>
      <c r="C164">
        <v>134893000</v>
      </c>
    </row>
    <row r="165" spans="1:3" x14ac:dyDescent="0.2">
      <c r="A165" t="s">
        <v>127</v>
      </c>
      <c r="B165" t="s">
        <v>6</v>
      </c>
      <c r="C165">
        <v>187749000</v>
      </c>
    </row>
    <row r="166" spans="1:3" x14ac:dyDescent="0.2">
      <c r="A166" t="s">
        <v>127</v>
      </c>
      <c r="B166" t="s">
        <v>7</v>
      </c>
      <c r="C166">
        <v>218941000</v>
      </c>
    </row>
    <row r="167" spans="1:3" x14ac:dyDescent="0.2">
      <c r="A167" t="s">
        <v>133</v>
      </c>
      <c r="B167" t="s">
        <v>11</v>
      </c>
      <c r="C167">
        <v>387000</v>
      </c>
    </row>
    <row r="168" spans="1:3" x14ac:dyDescent="0.2">
      <c r="A168" t="s">
        <v>133</v>
      </c>
      <c r="B168" t="s">
        <v>4</v>
      </c>
      <c r="C168">
        <v>4357000</v>
      </c>
    </row>
    <row r="169" spans="1:3" x14ac:dyDescent="0.2">
      <c r="A169" t="s">
        <v>133</v>
      </c>
      <c r="B169" t="s">
        <v>5</v>
      </c>
      <c r="C169">
        <v>22176000</v>
      </c>
    </row>
    <row r="170" spans="1:3" x14ac:dyDescent="0.2">
      <c r="A170" t="s">
        <v>133</v>
      </c>
      <c r="B170" t="s">
        <v>6</v>
      </c>
      <c r="C170">
        <v>42172000</v>
      </c>
    </row>
    <row r="171" spans="1:3" x14ac:dyDescent="0.2">
      <c r="A171" t="s">
        <v>133</v>
      </c>
      <c r="B171" t="s">
        <v>7</v>
      </c>
      <c r="C171">
        <v>45184000</v>
      </c>
    </row>
    <row r="172" spans="1:3" x14ac:dyDescent="0.2">
      <c r="A172" t="s">
        <v>134</v>
      </c>
      <c r="B172" t="s">
        <v>9</v>
      </c>
      <c r="C172">
        <v>0</v>
      </c>
    </row>
    <row r="173" spans="1:3" x14ac:dyDescent="0.2">
      <c r="A173" t="s">
        <v>134</v>
      </c>
      <c r="B173" t="s">
        <v>10</v>
      </c>
      <c r="C173">
        <v>0</v>
      </c>
    </row>
    <row r="174" spans="1:3" x14ac:dyDescent="0.2">
      <c r="A174" t="s">
        <v>134</v>
      </c>
      <c r="B174" t="s">
        <v>11</v>
      </c>
      <c r="C174">
        <v>-3526000</v>
      </c>
    </row>
    <row r="175" spans="1:3" x14ac:dyDescent="0.2">
      <c r="A175" t="s">
        <v>134</v>
      </c>
      <c r="B175" t="s">
        <v>4</v>
      </c>
      <c r="C175">
        <v>-132000</v>
      </c>
    </row>
    <row r="176" spans="1:3" x14ac:dyDescent="0.2">
      <c r="A176" t="s">
        <v>134</v>
      </c>
      <c r="B176" t="s">
        <v>5</v>
      </c>
      <c r="C176">
        <v>4203000</v>
      </c>
    </row>
    <row r="177" spans="1:3" x14ac:dyDescent="0.2">
      <c r="A177" t="s">
        <v>134</v>
      </c>
      <c r="B177" t="s">
        <v>6</v>
      </c>
      <c r="C177">
        <v>1713000</v>
      </c>
    </row>
    <row r="178" spans="1:3" x14ac:dyDescent="0.2">
      <c r="A178" t="s">
        <v>134</v>
      </c>
      <c r="B178" t="s">
        <v>7</v>
      </c>
      <c r="C178">
        <v>-7105000</v>
      </c>
    </row>
    <row r="179" spans="1:3" x14ac:dyDescent="0.2">
      <c r="A179" t="s">
        <v>145</v>
      </c>
      <c r="B179" t="s">
        <v>10</v>
      </c>
      <c r="C179">
        <v>2678000</v>
      </c>
    </row>
    <row r="180" spans="1:3" x14ac:dyDescent="0.2">
      <c r="A180" t="s">
        <v>145</v>
      </c>
      <c r="B180" t="s">
        <v>11</v>
      </c>
      <c r="C180">
        <v>12143000</v>
      </c>
    </row>
    <row r="181" spans="1:3" x14ac:dyDescent="0.2">
      <c r="A181" t="s">
        <v>145</v>
      </c>
      <c r="B181" t="s">
        <v>4</v>
      </c>
      <c r="C181">
        <v>317231000</v>
      </c>
    </row>
    <row r="182" spans="1:3" x14ac:dyDescent="0.2">
      <c r="A182" t="s">
        <v>145</v>
      </c>
      <c r="B182" t="s">
        <v>5</v>
      </c>
      <c r="C182">
        <v>344265000</v>
      </c>
    </row>
    <row r="183" spans="1:3" x14ac:dyDescent="0.2">
      <c r="A183" t="s">
        <v>145</v>
      </c>
      <c r="B183" t="s">
        <v>6</v>
      </c>
      <c r="C183">
        <v>486945000</v>
      </c>
    </row>
    <row r="184" spans="1:3" x14ac:dyDescent="0.2">
      <c r="A184" t="s">
        <v>145</v>
      </c>
      <c r="B184" t="s">
        <v>7</v>
      </c>
      <c r="C184">
        <v>484389000</v>
      </c>
    </row>
    <row r="185" spans="1:3" x14ac:dyDescent="0.2">
      <c r="A185" t="s">
        <v>143</v>
      </c>
      <c r="B185" t="s">
        <v>10</v>
      </c>
      <c r="C185">
        <v>92698000</v>
      </c>
    </row>
    <row r="186" spans="1:3" x14ac:dyDescent="0.2">
      <c r="A186" t="s">
        <v>143</v>
      </c>
      <c r="B186" t="s">
        <v>11</v>
      </c>
      <c r="C186">
        <v>224576000</v>
      </c>
    </row>
    <row r="187" spans="1:3" x14ac:dyDescent="0.2">
      <c r="A187" t="s">
        <v>143</v>
      </c>
      <c r="B187" t="s">
        <v>4</v>
      </c>
      <c r="C187">
        <v>357921000</v>
      </c>
    </row>
    <row r="188" spans="1:3" x14ac:dyDescent="0.2">
      <c r="A188" t="s">
        <v>146</v>
      </c>
      <c r="B188" t="s">
        <v>10</v>
      </c>
      <c r="C188">
        <v>0</v>
      </c>
    </row>
    <row r="189" spans="1:3" x14ac:dyDescent="0.2">
      <c r="A189" t="s">
        <v>146</v>
      </c>
      <c r="B189" t="s">
        <v>11</v>
      </c>
      <c r="C189">
        <v>4132245000</v>
      </c>
    </row>
    <row r="190" spans="1:3" x14ac:dyDescent="0.2">
      <c r="A190" t="s">
        <v>146</v>
      </c>
      <c r="B190" t="s">
        <v>4</v>
      </c>
      <c r="C190">
        <v>4205159000</v>
      </c>
    </row>
    <row r="191" spans="1:3" x14ac:dyDescent="0.2">
      <c r="A191" t="s">
        <v>146</v>
      </c>
      <c r="B191" t="s">
        <v>5</v>
      </c>
      <c r="C191">
        <v>4224153000</v>
      </c>
    </row>
    <row r="192" spans="1:3" x14ac:dyDescent="0.2">
      <c r="A192" t="s">
        <v>146</v>
      </c>
      <c r="B192" t="s">
        <v>6</v>
      </c>
      <c r="C192">
        <v>4699465000</v>
      </c>
    </row>
    <row r="193" spans="1:3" x14ac:dyDescent="0.2">
      <c r="A193" t="s">
        <v>146</v>
      </c>
      <c r="B193" t="s">
        <v>7</v>
      </c>
      <c r="C193">
        <v>5624469000</v>
      </c>
    </row>
    <row r="194" spans="1:3" x14ac:dyDescent="0.2">
      <c r="A194" t="s">
        <v>147</v>
      </c>
      <c r="B194" t="s">
        <v>10</v>
      </c>
      <c r="C194">
        <v>16469000</v>
      </c>
    </row>
    <row r="195" spans="1:3" x14ac:dyDescent="0.2">
      <c r="A195" t="s">
        <v>147</v>
      </c>
      <c r="B195" t="s">
        <v>11</v>
      </c>
      <c r="C195">
        <v>38620000</v>
      </c>
    </row>
    <row r="196" spans="1:3" x14ac:dyDescent="0.2">
      <c r="A196" t="s">
        <v>147</v>
      </c>
      <c r="B196" t="s">
        <v>4</v>
      </c>
      <c r="C196">
        <v>99679000</v>
      </c>
    </row>
    <row r="197" spans="1:3" x14ac:dyDescent="0.2">
      <c r="A197" t="s">
        <v>147</v>
      </c>
      <c r="B197" t="s">
        <v>5</v>
      </c>
      <c r="C197">
        <v>187455000</v>
      </c>
    </row>
    <row r="198" spans="1:3" x14ac:dyDescent="0.2">
      <c r="A198" t="s">
        <v>147</v>
      </c>
      <c r="B198" t="s">
        <v>6</v>
      </c>
      <c r="C198">
        <v>258748000</v>
      </c>
    </row>
    <row r="199" spans="1:3" x14ac:dyDescent="0.2">
      <c r="A199" t="s">
        <v>147</v>
      </c>
      <c r="B199" t="s">
        <v>7</v>
      </c>
      <c r="C199">
        <v>382519000</v>
      </c>
    </row>
    <row r="200" spans="1:3" x14ac:dyDescent="0.2">
      <c r="A200" t="s">
        <v>148</v>
      </c>
      <c r="B200" t="s">
        <v>10</v>
      </c>
      <c r="C200">
        <v>0</v>
      </c>
    </row>
    <row r="201" spans="1:3" x14ac:dyDescent="0.2">
      <c r="A201" t="s">
        <v>148</v>
      </c>
      <c r="B201" t="s">
        <v>11</v>
      </c>
      <c r="C201">
        <v>2611411000</v>
      </c>
    </row>
    <row r="202" spans="1:3" x14ac:dyDescent="0.2">
      <c r="A202" t="s">
        <v>148</v>
      </c>
      <c r="B202" t="s">
        <v>4</v>
      </c>
      <c r="C202">
        <v>2405422000</v>
      </c>
    </row>
    <row r="203" spans="1:3" x14ac:dyDescent="0.2">
      <c r="A203" t="s">
        <v>148</v>
      </c>
      <c r="B203" t="s">
        <v>5</v>
      </c>
      <c r="C203">
        <v>2110008000</v>
      </c>
    </row>
    <row r="204" spans="1:3" x14ac:dyDescent="0.2">
      <c r="A204" t="s">
        <v>148</v>
      </c>
      <c r="B204" t="s">
        <v>6</v>
      </c>
      <c r="C204">
        <v>2902752000</v>
      </c>
    </row>
    <row r="205" spans="1:3" x14ac:dyDescent="0.2">
      <c r="A205" t="s">
        <v>148</v>
      </c>
      <c r="B205" t="s">
        <v>7</v>
      </c>
      <c r="C205">
        <v>2888800000</v>
      </c>
    </row>
    <row r="206" spans="1:3" x14ac:dyDescent="0.2">
      <c r="A206" t="s">
        <v>152</v>
      </c>
      <c r="B206" t="s">
        <v>10</v>
      </c>
      <c r="C206">
        <v>207957000</v>
      </c>
    </row>
    <row r="207" spans="1:3" x14ac:dyDescent="0.2">
      <c r="A207" t="s">
        <v>152</v>
      </c>
      <c r="B207" t="s">
        <v>11</v>
      </c>
      <c r="C207">
        <v>155606000</v>
      </c>
    </row>
    <row r="208" spans="1:3" x14ac:dyDescent="0.2">
      <c r="A208" t="s">
        <v>152</v>
      </c>
      <c r="B208" t="s">
        <v>4</v>
      </c>
      <c r="C208">
        <v>309644000</v>
      </c>
    </row>
    <row r="209" spans="1:3" x14ac:dyDescent="0.2">
      <c r="A209" t="s">
        <v>152</v>
      </c>
      <c r="B209" t="s">
        <v>5</v>
      </c>
      <c r="C209">
        <v>370726000</v>
      </c>
    </row>
    <row r="210" spans="1:3" x14ac:dyDescent="0.2">
      <c r="A210" t="s">
        <v>152</v>
      </c>
      <c r="B210" t="s">
        <v>6</v>
      </c>
      <c r="C210">
        <v>424024000</v>
      </c>
    </row>
    <row r="211" spans="1:3" x14ac:dyDescent="0.2">
      <c r="A211" t="s">
        <v>152</v>
      </c>
      <c r="B211" t="s">
        <v>7</v>
      </c>
      <c r="C211">
        <v>525550000</v>
      </c>
    </row>
    <row r="212" spans="1:3" x14ac:dyDescent="0.2">
      <c r="A212" t="s">
        <v>153</v>
      </c>
      <c r="B212" t="s">
        <v>10</v>
      </c>
      <c r="C212">
        <v>58415000</v>
      </c>
    </row>
    <row r="213" spans="1:3" x14ac:dyDescent="0.2">
      <c r="A213" t="s">
        <v>153</v>
      </c>
      <c r="B213" t="s">
        <v>11</v>
      </c>
      <c r="C213">
        <v>68339000</v>
      </c>
    </row>
    <row r="214" spans="1:3" x14ac:dyDescent="0.2">
      <c r="A214" t="s">
        <v>153</v>
      </c>
      <c r="B214" t="s">
        <v>4</v>
      </c>
      <c r="C214">
        <v>126559000</v>
      </c>
    </row>
    <row r="215" spans="1:3" x14ac:dyDescent="0.2">
      <c r="A215" t="s">
        <v>153</v>
      </c>
      <c r="B215" t="s">
        <v>5</v>
      </c>
      <c r="C215">
        <v>138754000</v>
      </c>
    </row>
    <row r="216" spans="1:3" x14ac:dyDescent="0.2">
      <c r="A216" t="s">
        <v>153</v>
      </c>
      <c r="B216" t="s">
        <v>6</v>
      </c>
      <c r="C216">
        <v>165953000</v>
      </c>
    </row>
    <row r="217" spans="1:3" x14ac:dyDescent="0.2">
      <c r="A217" t="s">
        <v>153</v>
      </c>
      <c r="B217" t="s">
        <v>7</v>
      </c>
      <c r="C217">
        <v>163000000</v>
      </c>
    </row>
    <row r="218" spans="1:3" x14ac:dyDescent="0.2">
      <c r="A218" t="s">
        <v>154</v>
      </c>
      <c r="B218" t="s">
        <v>10</v>
      </c>
      <c r="C218">
        <v>0</v>
      </c>
    </row>
    <row r="219" spans="1:3" x14ac:dyDescent="0.2">
      <c r="A219" t="s">
        <v>154</v>
      </c>
      <c r="B219" t="s">
        <v>11</v>
      </c>
      <c r="C219">
        <v>48962000</v>
      </c>
    </row>
    <row r="220" spans="1:3" x14ac:dyDescent="0.2">
      <c r="A220" t="s">
        <v>154</v>
      </c>
      <c r="B220" t="s">
        <v>4</v>
      </c>
      <c r="C220">
        <v>41791000</v>
      </c>
    </row>
    <row r="221" spans="1:3" x14ac:dyDescent="0.2">
      <c r="A221" t="s">
        <v>154</v>
      </c>
      <c r="B221" t="s">
        <v>5</v>
      </c>
      <c r="C221">
        <v>34419000</v>
      </c>
    </row>
    <row r="222" spans="1:3" x14ac:dyDescent="0.2">
      <c r="A222" t="s">
        <v>154</v>
      </c>
      <c r="B222" t="s">
        <v>6</v>
      </c>
      <c r="C222">
        <v>36867000</v>
      </c>
    </row>
    <row r="223" spans="1:3" x14ac:dyDescent="0.2">
      <c r="A223" t="s">
        <v>154</v>
      </c>
      <c r="B223" t="s">
        <v>7</v>
      </c>
      <c r="C223">
        <v>39663000</v>
      </c>
    </row>
    <row r="224" spans="1:3" x14ac:dyDescent="0.2">
      <c r="A224" t="s">
        <v>155</v>
      </c>
      <c r="B224" t="s">
        <v>10</v>
      </c>
      <c r="C224">
        <v>5260809</v>
      </c>
    </row>
    <row r="225" spans="1:3" x14ac:dyDescent="0.2">
      <c r="A225" t="s">
        <v>155</v>
      </c>
      <c r="B225" t="s">
        <v>11</v>
      </c>
      <c r="C225">
        <v>2160934000</v>
      </c>
    </row>
    <row r="226" spans="1:3" x14ac:dyDescent="0.2">
      <c r="A226" t="s">
        <v>155</v>
      </c>
      <c r="B226" t="s">
        <v>4</v>
      </c>
      <c r="C226">
        <v>2293903000</v>
      </c>
    </row>
    <row r="227" spans="1:3" x14ac:dyDescent="0.2">
      <c r="A227" t="s">
        <v>155</v>
      </c>
      <c r="B227" t="s">
        <v>5</v>
      </c>
      <c r="C227">
        <v>2410982000</v>
      </c>
    </row>
    <row r="228" spans="1:3" x14ac:dyDescent="0.2">
      <c r="A228" t="s">
        <v>155</v>
      </c>
      <c r="B228" t="s">
        <v>6</v>
      </c>
      <c r="C228">
        <v>3269239000</v>
      </c>
    </row>
    <row r="229" spans="1:3" x14ac:dyDescent="0.2">
      <c r="A229" t="s">
        <v>155</v>
      </c>
      <c r="B229" t="s">
        <v>7</v>
      </c>
      <c r="C229">
        <v>3812770000</v>
      </c>
    </row>
    <row r="230" spans="1:3" x14ac:dyDescent="0.2">
      <c r="A230" t="s">
        <v>156</v>
      </c>
      <c r="B230" t="s">
        <v>10</v>
      </c>
      <c r="C230">
        <v>-261631</v>
      </c>
    </row>
    <row r="231" spans="1:3" x14ac:dyDescent="0.2">
      <c r="A231" t="s">
        <v>156</v>
      </c>
      <c r="B231" t="s">
        <v>11</v>
      </c>
      <c r="C231">
        <v>-497506000</v>
      </c>
    </row>
    <row r="232" spans="1:3" x14ac:dyDescent="0.2">
      <c r="A232" t="s">
        <v>156</v>
      </c>
      <c r="B232" t="s">
        <v>4</v>
      </c>
      <c r="C232">
        <v>-689345000</v>
      </c>
    </row>
    <row r="233" spans="1:3" x14ac:dyDescent="0.2">
      <c r="A233" t="s">
        <v>156</v>
      </c>
      <c r="B233" t="s">
        <v>5</v>
      </c>
      <c r="C233">
        <v>-882884000</v>
      </c>
    </row>
    <row r="234" spans="1:3" x14ac:dyDescent="0.2">
      <c r="A234" t="s">
        <v>156</v>
      </c>
      <c r="B234" t="s">
        <v>6</v>
      </c>
      <c r="C234">
        <v>-1141631000</v>
      </c>
    </row>
    <row r="235" spans="1:3" x14ac:dyDescent="0.2">
      <c r="A235" t="s">
        <v>156</v>
      </c>
      <c r="B235" t="s">
        <v>7</v>
      </c>
      <c r="C235">
        <v>-1609455000</v>
      </c>
    </row>
    <row r="236" spans="1:3" x14ac:dyDescent="0.2">
      <c r="A236" t="s">
        <v>176</v>
      </c>
      <c r="B236" t="s">
        <v>10</v>
      </c>
      <c r="C236">
        <v>0</v>
      </c>
    </row>
    <row r="237" spans="1:3" x14ac:dyDescent="0.2">
      <c r="A237" t="s">
        <v>176</v>
      </c>
      <c r="B237" t="s">
        <v>177</v>
      </c>
      <c r="C237">
        <v>13800000</v>
      </c>
    </row>
    <row r="238" spans="1:3" x14ac:dyDescent="0.2">
      <c r="A238" t="s">
        <v>176</v>
      </c>
      <c r="B238" t="s">
        <v>11</v>
      </c>
      <c r="C238">
        <v>86033000</v>
      </c>
    </row>
    <row r="239" spans="1:3" x14ac:dyDescent="0.2">
      <c r="A239" t="s">
        <v>176</v>
      </c>
      <c r="B239" t="s">
        <v>4</v>
      </c>
      <c r="C239">
        <v>224411000</v>
      </c>
    </row>
    <row r="240" spans="1:3" x14ac:dyDescent="0.2">
      <c r="A240" t="s">
        <v>176</v>
      </c>
      <c r="B240" t="s">
        <v>5</v>
      </c>
      <c r="C240">
        <v>281669000</v>
      </c>
    </row>
    <row r="241" spans="1:3" x14ac:dyDescent="0.2">
      <c r="A241" t="s">
        <v>176</v>
      </c>
      <c r="B241" t="s">
        <v>6</v>
      </c>
      <c r="C241">
        <v>325090000</v>
      </c>
    </row>
    <row r="242" spans="1:3" x14ac:dyDescent="0.2">
      <c r="A242" t="s">
        <v>176</v>
      </c>
      <c r="B242" t="s">
        <v>7</v>
      </c>
      <c r="C242">
        <v>456204000</v>
      </c>
    </row>
    <row r="243" spans="1:3" x14ac:dyDescent="0.2">
      <c r="A243" t="s">
        <v>179</v>
      </c>
      <c r="B243" t="s">
        <v>10</v>
      </c>
      <c r="C243">
        <v>0</v>
      </c>
    </row>
    <row r="244" spans="1:3" x14ac:dyDescent="0.2">
      <c r="A244" t="s">
        <v>179</v>
      </c>
      <c r="B244" t="s">
        <v>177</v>
      </c>
      <c r="C244">
        <v>14400000</v>
      </c>
    </row>
    <row r="245" spans="1:3" x14ac:dyDescent="0.2">
      <c r="A245" t="s">
        <v>179</v>
      </c>
      <c r="B245" t="s">
        <v>11</v>
      </c>
      <c r="C245">
        <v>88480000</v>
      </c>
    </row>
    <row r="246" spans="1:3" x14ac:dyDescent="0.2">
      <c r="A246" t="s">
        <v>179</v>
      </c>
      <c r="B246" t="s">
        <v>4</v>
      </c>
      <c r="C246">
        <v>239844000</v>
      </c>
    </row>
    <row r="247" spans="1:3" x14ac:dyDescent="0.2">
      <c r="A247" t="s">
        <v>179</v>
      </c>
      <c r="B247" t="s">
        <v>5</v>
      </c>
      <c r="C247">
        <v>319532000</v>
      </c>
    </row>
    <row r="248" spans="1:3" x14ac:dyDescent="0.2">
      <c r="A248" t="s">
        <v>179</v>
      </c>
      <c r="B248" t="s">
        <v>6</v>
      </c>
      <c r="C248">
        <v>390353000</v>
      </c>
    </row>
    <row r="249" spans="1:3" x14ac:dyDescent="0.2">
      <c r="A249" t="s">
        <v>179</v>
      </c>
      <c r="B249" t="s">
        <v>7</v>
      </c>
      <c r="C249">
        <v>538147000</v>
      </c>
    </row>
    <row r="250" spans="1:3" x14ac:dyDescent="0.2">
      <c r="A250" t="s">
        <v>207</v>
      </c>
      <c r="B250" t="s">
        <v>9</v>
      </c>
      <c r="C250">
        <v>1173000</v>
      </c>
    </row>
    <row r="251" spans="1:3" x14ac:dyDescent="0.2">
      <c r="A251" t="s">
        <v>207</v>
      </c>
      <c r="B251" t="s">
        <v>10</v>
      </c>
      <c r="C251">
        <v>652000</v>
      </c>
    </row>
    <row r="252" spans="1:3" x14ac:dyDescent="0.2">
      <c r="A252" t="s">
        <v>207</v>
      </c>
      <c r="B252" t="s">
        <v>11</v>
      </c>
      <c r="C252">
        <v>5261000</v>
      </c>
    </row>
    <row r="253" spans="1:3" x14ac:dyDescent="0.2">
      <c r="A253" t="s">
        <v>207</v>
      </c>
      <c r="B253" t="s">
        <v>4</v>
      </c>
      <c r="C253">
        <v>65539000</v>
      </c>
    </row>
    <row r="254" spans="1:3" x14ac:dyDescent="0.2">
      <c r="A254" t="s">
        <v>207</v>
      </c>
      <c r="B254" t="s">
        <v>5</v>
      </c>
      <c r="C254">
        <v>67905000</v>
      </c>
    </row>
    <row r="255" spans="1:3" x14ac:dyDescent="0.2">
      <c r="A255" t="s">
        <v>207</v>
      </c>
      <c r="B255" t="s">
        <v>6</v>
      </c>
      <c r="C255">
        <v>64187000</v>
      </c>
    </row>
    <row r="256" spans="1:3" x14ac:dyDescent="0.2">
      <c r="A256" t="s">
        <v>207</v>
      </c>
      <c r="B256" t="s">
        <v>7</v>
      </c>
      <c r="C256">
        <v>57748000</v>
      </c>
    </row>
    <row r="257" spans="1:3" x14ac:dyDescent="0.2">
      <c r="A257" t="s">
        <v>213</v>
      </c>
      <c r="B257" t="s">
        <v>9</v>
      </c>
      <c r="C257">
        <v>0</v>
      </c>
    </row>
    <row r="258" spans="1:3" x14ac:dyDescent="0.2">
      <c r="A258" t="s">
        <v>213</v>
      </c>
      <c r="B258" t="s">
        <v>10</v>
      </c>
      <c r="C258">
        <v>0</v>
      </c>
    </row>
    <row r="259" spans="1:3" x14ac:dyDescent="0.2">
      <c r="A259" t="s">
        <v>213</v>
      </c>
      <c r="B259" t="s">
        <v>11</v>
      </c>
      <c r="C259">
        <v>1578866000</v>
      </c>
    </row>
    <row r="260" spans="1:3" x14ac:dyDescent="0.2">
      <c r="A260" t="s">
        <v>213</v>
      </c>
      <c r="B260" t="s">
        <v>4</v>
      </c>
      <c r="C260">
        <v>114454000</v>
      </c>
    </row>
    <row r="261" spans="1:3" x14ac:dyDescent="0.2">
      <c r="A261" t="s">
        <v>213</v>
      </c>
      <c r="B261" t="s">
        <v>5</v>
      </c>
      <c r="C261">
        <v>26265000</v>
      </c>
    </row>
    <row r="262" spans="1:3" x14ac:dyDescent="0.2">
      <c r="A262" t="s">
        <v>213</v>
      </c>
      <c r="B262" t="s">
        <v>6</v>
      </c>
      <c r="C262">
        <v>445210000</v>
      </c>
    </row>
    <row r="263" spans="1:3" x14ac:dyDescent="0.2">
      <c r="A263" t="s">
        <v>213</v>
      </c>
      <c r="B263" t="s">
        <v>7</v>
      </c>
      <c r="C263">
        <v>244580000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DEB7-C847-EC4B-A0FD-51A011333459}">
  <dimension ref="B2:H43"/>
  <sheetViews>
    <sheetView workbookViewId="0">
      <selection activeCell="E8" sqref="E8"/>
    </sheetView>
  </sheetViews>
  <sheetFormatPr baseColWidth="10" defaultRowHeight="16" x14ac:dyDescent="0.2"/>
  <cols>
    <col min="1" max="1" width="10.83203125" style="6"/>
    <col min="2" max="2" width="47.33203125" style="6" customWidth="1"/>
    <col min="3" max="3" width="33.1640625" style="6" customWidth="1"/>
    <col min="4" max="4" width="18.6640625" style="6" customWidth="1"/>
    <col min="5" max="5" width="32.83203125" style="6" customWidth="1"/>
    <col min="6" max="6" width="18.1640625" style="6" customWidth="1"/>
    <col min="7" max="16384" width="10.83203125" style="6"/>
  </cols>
  <sheetData>
    <row r="2" spans="2:8" x14ac:dyDescent="0.2">
      <c r="B2" s="83" t="s">
        <v>185</v>
      </c>
      <c r="C2" s="83" t="s">
        <v>186</v>
      </c>
      <c r="E2" s="50" t="s">
        <v>245</v>
      </c>
    </row>
    <row r="3" spans="2:8" x14ac:dyDescent="0.2">
      <c r="B3" s="6" t="s">
        <v>187</v>
      </c>
      <c r="C3" s="6" t="s">
        <v>159</v>
      </c>
    </row>
    <row r="4" spans="2:8" x14ac:dyDescent="0.2">
      <c r="B4" s="6" t="s">
        <v>188</v>
      </c>
      <c r="C4" s="6" t="s">
        <v>160</v>
      </c>
    </row>
    <row r="5" spans="2:8" x14ac:dyDescent="0.2">
      <c r="B5" s="6" t="s">
        <v>189</v>
      </c>
      <c r="C5" s="6" t="s">
        <v>190</v>
      </c>
    </row>
    <row r="6" spans="2:8" x14ac:dyDescent="0.2">
      <c r="B6" s="6" t="s">
        <v>84</v>
      </c>
      <c r="C6" s="6" t="s">
        <v>84</v>
      </c>
    </row>
    <row r="8" spans="2:8" s="56" customFormat="1" ht="15" x14ac:dyDescent="0.2">
      <c r="B8" s="84" t="s">
        <v>123</v>
      </c>
    </row>
    <row r="9" spans="2:8" x14ac:dyDescent="0.2">
      <c r="B9" s="13" t="s">
        <v>193</v>
      </c>
    </row>
    <row r="10" spans="2:8" x14ac:dyDescent="0.2">
      <c r="B10" s="6" t="s">
        <v>194</v>
      </c>
    </row>
    <row r="11" spans="2:8" ht="19" x14ac:dyDescent="0.25">
      <c r="B11" s="6" t="s">
        <v>195</v>
      </c>
      <c r="H11" s="76"/>
    </row>
    <row r="12" spans="2:8" x14ac:dyDescent="0.2">
      <c r="B12" s="6" t="s">
        <v>196</v>
      </c>
    </row>
    <row r="13" spans="2:8" x14ac:dyDescent="0.2">
      <c r="B13" s="6" t="s">
        <v>197</v>
      </c>
    </row>
    <row r="14" spans="2:8" x14ac:dyDescent="0.2">
      <c r="B14" s="6" t="s">
        <v>198</v>
      </c>
    </row>
    <row r="15" spans="2:8" x14ac:dyDescent="0.2">
      <c r="B15" s="6" t="s">
        <v>199</v>
      </c>
    </row>
    <row r="16" spans="2:8" x14ac:dyDescent="0.2">
      <c r="B16" s="6" t="s">
        <v>200</v>
      </c>
    </row>
    <row r="18" spans="2:4" x14ac:dyDescent="0.2">
      <c r="B18" s="83" t="s">
        <v>201</v>
      </c>
    </row>
    <row r="19" spans="2:4" x14ac:dyDescent="0.2">
      <c r="B19" s="6" t="s">
        <v>202</v>
      </c>
    </row>
    <row r="20" spans="2:4" x14ac:dyDescent="0.2">
      <c r="B20" s="6" t="s">
        <v>203</v>
      </c>
    </row>
    <row r="21" spans="2:4" x14ac:dyDescent="0.2">
      <c r="B21" s="6" t="s">
        <v>204</v>
      </c>
    </row>
    <row r="22" spans="2:4" x14ac:dyDescent="0.2">
      <c r="B22" s="6" t="s">
        <v>205</v>
      </c>
    </row>
    <row r="23" spans="2:4" x14ac:dyDescent="0.2">
      <c r="B23" s="6" t="s">
        <v>206</v>
      </c>
    </row>
    <row r="25" spans="2:4" x14ac:dyDescent="0.2">
      <c r="B25" s="77" t="s">
        <v>175</v>
      </c>
      <c r="C25" s="78"/>
      <c r="D25" s="78"/>
    </row>
    <row r="26" spans="2:4" ht="19" x14ac:dyDescent="0.25">
      <c r="B26" s="76" t="s">
        <v>174</v>
      </c>
      <c r="C26" s="79" t="s">
        <v>173</v>
      </c>
    </row>
    <row r="27" spans="2:4" x14ac:dyDescent="0.2">
      <c r="B27" s="6" t="s">
        <v>18</v>
      </c>
      <c r="C27" s="15" t="s">
        <v>275</v>
      </c>
    </row>
    <row r="28" spans="2:4" x14ac:dyDescent="0.2">
      <c r="B28" s="85" t="s">
        <v>279</v>
      </c>
    </row>
    <row r="30" spans="2:4" x14ac:dyDescent="0.2">
      <c r="B30" s="80" t="s">
        <v>280</v>
      </c>
    </row>
    <row r="31" spans="2:4" x14ac:dyDescent="0.2">
      <c r="B31" s="6" t="s">
        <v>208</v>
      </c>
    </row>
    <row r="32" spans="2:4" x14ac:dyDescent="0.2">
      <c r="B32" s="6" t="s">
        <v>209</v>
      </c>
    </row>
    <row r="33" spans="2:4" x14ac:dyDescent="0.2">
      <c r="B33" s="6" t="s">
        <v>210</v>
      </c>
    </row>
    <row r="34" spans="2:4" x14ac:dyDescent="0.2">
      <c r="B34" s="6" t="s">
        <v>211</v>
      </c>
    </row>
    <row r="35" spans="2:4" x14ac:dyDescent="0.2">
      <c r="B35" s="6" t="s">
        <v>212</v>
      </c>
    </row>
    <row r="37" spans="2:4" x14ac:dyDescent="0.2">
      <c r="B37" s="80" t="s">
        <v>246</v>
      </c>
      <c r="D37" s="13" t="s">
        <v>276</v>
      </c>
    </row>
    <row r="38" spans="2:4" x14ac:dyDescent="0.2">
      <c r="B38" s="81" t="s">
        <v>247</v>
      </c>
    </row>
    <row r="39" spans="2:4" x14ac:dyDescent="0.2">
      <c r="B39" s="82" t="s">
        <v>254</v>
      </c>
    </row>
    <row r="40" spans="2:4" x14ac:dyDescent="0.2">
      <c r="B40" s="6" t="s">
        <v>250</v>
      </c>
      <c r="C40" s="6" t="s">
        <v>251</v>
      </c>
    </row>
    <row r="41" spans="2:4" x14ac:dyDescent="0.2">
      <c r="B41" s="6" t="s">
        <v>252</v>
      </c>
      <c r="C41" s="6" t="s">
        <v>253</v>
      </c>
      <c r="D41" s="6" t="s">
        <v>278</v>
      </c>
    </row>
    <row r="42" spans="2:4" x14ac:dyDescent="0.2">
      <c r="B42" s="6" t="s">
        <v>248</v>
      </c>
      <c r="C42" s="6" t="s">
        <v>249</v>
      </c>
    </row>
    <row r="43" spans="2:4" x14ac:dyDescent="0.2">
      <c r="B43" s="6" t="s">
        <v>277</v>
      </c>
      <c r="C43" s="55">
        <v>1.17E-2</v>
      </c>
    </row>
  </sheetData>
  <hyperlinks>
    <hyperlink ref="E2" r:id="rId1" location="fact-identifier-32" xr:uid="{C226FE34-2DB2-4E44-9334-28366C7DCC9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93EE9A-B7EE-0649-A298-F2FCA7EEB4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STMT</vt:lpstr>
      <vt:lpstr>Pivot</vt:lpstr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Gallagher</dc:creator>
  <cp:lastModifiedBy>Kristen Gallagher</cp:lastModifiedBy>
  <dcterms:created xsi:type="dcterms:W3CDTF">2026-06-12T19:18:04Z</dcterms:created>
  <dcterms:modified xsi:type="dcterms:W3CDTF">2026-07-29T15:17:38Z</dcterms:modified>
</cp:coreProperties>
</file>